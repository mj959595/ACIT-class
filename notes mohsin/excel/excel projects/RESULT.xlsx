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13_ncr:1_{DF75CA5A-42DB-493E-B00B-E0F433EF46A5}" xr6:coauthVersionLast="47" xr6:coauthVersionMax="47" xr10:uidLastSave="{00000000-0000-0000-0000-000000000000}"/>
  <bookViews>
    <workbookView xWindow="-120" yWindow="-120" windowWidth="19440" windowHeight="11040" xr2:uid="{AA9EA8C6-7AF4-4687-8F35-030FEB4974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K7" i="1"/>
  <c r="O7" i="1" s="1"/>
  <c r="K9" i="1"/>
  <c r="O9" i="1" s="1"/>
  <c r="K10" i="1"/>
  <c r="O10" i="1" s="1"/>
  <c r="K11" i="1"/>
  <c r="M11" i="1" s="1"/>
  <c r="K12" i="1"/>
  <c r="O12" i="1" s="1"/>
  <c r="K13" i="1"/>
  <c r="O13" i="1" s="1"/>
  <c r="K14" i="1"/>
  <c r="M14" i="1" s="1"/>
  <c r="K15" i="1"/>
  <c r="O15" i="1" s="1"/>
  <c r="K16" i="1"/>
  <c r="O16" i="1" s="1"/>
  <c r="K17" i="1"/>
  <c r="M17" i="1" s="1"/>
  <c r="K18" i="1"/>
  <c r="M18" i="1" s="1"/>
  <c r="K19" i="1"/>
  <c r="M19" i="1" s="1"/>
  <c r="K20" i="1"/>
  <c r="O20" i="1" s="1"/>
  <c r="K21" i="1"/>
  <c r="M21" i="1" s="1"/>
  <c r="K22" i="1"/>
  <c r="M22" i="1" s="1"/>
  <c r="K23" i="1"/>
  <c r="M23" i="1" s="1"/>
  <c r="K24" i="1"/>
  <c r="O24" i="1" s="1"/>
  <c r="K25" i="1"/>
  <c r="M25" i="1" s="1"/>
  <c r="K26" i="1"/>
  <c r="M26" i="1" s="1"/>
  <c r="K8" i="1"/>
  <c r="M8" i="1" s="1"/>
  <c r="M24" i="1" l="1"/>
  <c r="M20" i="1"/>
  <c r="M13" i="1"/>
  <c r="O8" i="1"/>
  <c r="O23" i="1"/>
  <c r="O19" i="1"/>
  <c r="M12" i="1"/>
  <c r="O26" i="1"/>
  <c r="O22" i="1"/>
  <c r="O18" i="1"/>
  <c r="M10" i="1"/>
  <c r="O25" i="1"/>
  <c r="O21" i="1"/>
  <c r="O17" i="1"/>
  <c r="M16" i="1"/>
  <c r="M9" i="1"/>
  <c r="O14" i="1"/>
  <c r="M15" i="1"/>
  <c r="O11" i="1"/>
</calcChain>
</file>

<file path=xl/sharedStrings.xml><?xml version="1.0" encoding="utf-8"?>
<sst xmlns="http://schemas.openxmlformats.org/spreadsheetml/2006/main" count="33" uniqueCount="33">
  <si>
    <t>NAMES</t>
  </si>
  <si>
    <t xml:space="preserve">ROLL NO </t>
  </si>
  <si>
    <t>MATHS</t>
  </si>
  <si>
    <t>ENGLISH</t>
  </si>
  <si>
    <t xml:space="preserve">URDU </t>
  </si>
  <si>
    <t>SCIENCE</t>
  </si>
  <si>
    <t>G.K</t>
  </si>
  <si>
    <t>TOTAL</t>
  </si>
  <si>
    <t>FULL MARKS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</si>
  <si>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</si>
  <si>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</si>
  <si>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</si>
  <si>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</si>
  <si>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</si>
  <si>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</si>
  <si>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</si>
  <si>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</si>
  <si>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</si>
  <si>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</si>
  <si>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</si>
  <si>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</si>
  <si>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</si>
  <si>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</si>
  <si>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</si>
  <si>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</si>
  <si>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</si>
  <si>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</si>
  <si>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</si>
  <si>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</si>
  <si>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PASS/FAIL</t>
  </si>
  <si>
    <t>STUDENT RESTUL CARD</t>
  </si>
  <si>
    <t>PERCENT</t>
  </si>
  <si>
    <t>GRADES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</si>
</sst>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2" fillId="2" borderId="3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2B73E-A402-468D-84E3-8A55F2A78340}">
  <dimension ref="D1:O26"/>
  <sheetViews>
    <sheetView tabSelected="1" topLeftCell="C1" zoomScale="130" zoomScaleNormal="130" workbookViewId="0">
      <selection activeCell="Q6" sqref="Q6"/>
    </sheetView>
  </sheetViews>
  <sheetFormatPr defaultRowHeight="15" x14ac:dyDescent="0.25"/>
  <cols>
    <col min="4" max="4" width="10.140625" bestFit="1" customWidth="1"/>
    <col min="5" max="5" width="11.42578125" bestFit="1" customWidth="1"/>
    <col min="6" max="6" width="8.140625" bestFit="1" customWidth="1"/>
    <col min="7" max="7" width="9.28515625" bestFit="1" customWidth="1"/>
    <col min="8" max="8" width="7.140625" bestFit="1" customWidth="1"/>
    <col min="9" max="9" width="8.85546875" bestFit="1" customWidth="1"/>
    <col min="10" max="10" width="4.28515625" bestFit="1" customWidth="1"/>
    <col min="11" max="11" width="7.28515625" bestFit="1" customWidth="1"/>
    <col min="12" max="12" width="12" bestFit="1" customWidth="1"/>
    <col min="13" max="13" width="13.28515625" bestFit="1" customWidth="1"/>
    <col min="14" max="14" width="13.28515625" customWidth="1"/>
    <col min="15" max="15" width="11" bestFit="1" customWidth="1"/>
  </cols>
  <sheetData>
    <row r="1" spans="4:15" ht="15.75" thickBot="1" x14ac:dyDescent="0.3"/>
    <row r="2" spans="4:15" x14ac:dyDescent="0.25">
      <c r="D2" s="5" t="s">
        <v>30</v>
      </c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4:15" x14ac:dyDescent="0.25"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10"/>
    </row>
    <row r="4" spans="4:15" ht="15.75" thickBot="1" x14ac:dyDescent="0.3">
      <c r="D4" s="11"/>
      <c r="E4" s="12"/>
      <c r="F4" s="12"/>
      <c r="G4" s="12"/>
      <c r="H4" s="12"/>
      <c r="I4" s="12"/>
      <c r="J4" s="12"/>
      <c r="K4" s="12"/>
      <c r="L4" s="12"/>
      <c r="M4" s="12"/>
      <c r="N4" s="12"/>
      <c r="O4" s="13"/>
    </row>
    <row r="5" spans="4:15" ht="15.75" customHeight="1" x14ac:dyDescent="0.25">
      <c r="D5" s="14" t="s">
        <v>1</v>
      </c>
      <c r="E5" s="15" t="s">
        <v>0</v>
      </c>
      <c r="F5" s="15" t="s">
        <v>2</v>
      </c>
      <c r="G5" s="15" t="s">
        <v>3</v>
      </c>
      <c r="H5" s="15" t="s">
        <v>4</v>
      </c>
      <c r="I5" s="15" t="s">
        <v>5</v>
      </c>
      <c r="J5" s="15" t="s">
        <v>6</v>
      </c>
      <c r="K5" s="15" t="s">
        <v>7</v>
      </c>
      <c r="L5" s="16" t="s">
        <v>8</v>
      </c>
      <c r="M5" s="15" t="s">
        <v>31</v>
      </c>
      <c r="N5" s="16" t="s">
        <v>32</v>
      </c>
      <c r="O5" s="17" t="s">
        <v>29</v>
      </c>
    </row>
    <row r="6" spans="4:15" ht="15.75" thickBot="1" x14ac:dyDescent="0.3">
      <c r="D6" s="18"/>
      <c r="E6" s="19"/>
      <c r="F6" s="19"/>
      <c r="G6" s="19"/>
      <c r="H6" s="19"/>
      <c r="I6" s="19"/>
      <c r="J6" s="19"/>
      <c r="K6" s="19"/>
      <c r="L6" s="20"/>
      <c r="M6" s="19"/>
      <c r="N6" s="20"/>
      <c r="O6" s="21"/>
    </row>
    <row r="7" spans="4:15" x14ac:dyDescent="0.25">
      <c r="D7" s="3">
        <v>1</v>
      </c>
      <c r="E7" s="3" t="s">
        <v>9</v>
      </c>
      <c r="F7" s="3">
        <v>4</v>
      </c>
      <c r="G7" s="3">
        <v>80</v>
      </c>
      <c r="H7" s="3">
        <v>100</v>
      </c>
      <c r="I7" s="3">
        <v>3</v>
      </c>
      <c r="J7" s="3">
        <v>75</v>
      </c>
      <c r="K7" s="3">
        <f>SUM(F7:J7)</f>
        <v>262</v>
      </c>
      <c r="L7" s="3">
        <v>500</v>
      </c>
      <c r="M7" s="3">
        <f>K7/L7*100</f>
        <v>52.400000000000006</v>
      </c>
      <c r="N7" s="3"/>
      <c r="O7" s="4" t="str">
        <f>IF(K7&lt;250,"FAIL","PASS")</f>
        <v>PASS</v>
      </c>
    </row>
    <row r="8" spans="4:15" x14ac:dyDescent="0.25">
      <c r="D8" s="1">
        <v>2</v>
      </c>
      <c r="E8" s="1" t="s">
        <v>10</v>
      </c>
      <c r="F8" s="1">
        <v>8</v>
      </c>
      <c r="G8" s="1">
        <v>76</v>
      </c>
      <c r="H8" s="1">
        <v>10</v>
      </c>
      <c r="I8" s="1">
        <v>6</v>
      </c>
      <c r="J8" s="1">
        <v>30</v>
      </c>
      <c r="K8" s="1">
        <f>SUM(F8:I8)</f>
        <v>100</v>
      </c>
      <c r="L8" s="1">
        <v>500</v>
      </c>
      <c r="M8" s="1">
        <f>K8/L8*100</f>
        <v>20</v>
      </c>
      <c r="N8" s="1"/>
      <c r="O8" s="2" t="str">
        <f>IF(K8&lt;250,"FAIL","PASS")</f>
        <v>FAIL</v>
      </c>
    </row>
    <row r="9" spans="4:15" x14ac:dyDescent="0.25">
      <c r="D9" s="1">
        <v>3</v>
      </c>
      <c r="E9" s="1" t="s">
        <v>11</v>
      </c>
      <c r="F9" s="1">
        <v>12</v>
      </c>
      <c r="G9" s="1">
        <v>72</v>
      </c>
      <c r="H9" s="1">
        <v>15</v>
      </c>
      <c r="I9" s="1">
        <v>9</v>
      </c>
      <c r="J9" s="1">
        <v>10</v>
      </c>
      <c r="K9" s="3">
        <f t="shared" ref="K9" si="0">SUM(F9:J9)</f>
        <v>118</v>
      </c>
      <c r="L9" s="3">
        <v>500</v>
      </c>
      <c r="M9" s="3">
        <f t="shared" ref="M9:M26" si="1">K9/L9*100</f>
        <v>23.599999999999998</v>
      </c>
      <c r="N9" s="3"/>
      <c r="O9" s="4" t="str">
        <f t="shared" ref="O9:O26" si="2">IF(K9&lt;250,"FAIL","PASS")</f>
        <v>FAIL</v>
      </c>
    </row>
    <row r="10" spans="4:15" x14ac:dyDescent="0.25">
      <c r="D10" s="1">
        <v>4</v>
      </c>
      <c r="E10" s="1" t="s">
        <v>12</v>
      </c>
      <c r="F10" s="1">
        <v>16</v>
      </c>
      <c r="G10" s="1">
        <v>68</v>
      </c>
      <c r="H10" s="1">
        <v>20</v>
      </c>
      <c r="I10" s="1">
        <v>12</v>
      </c>
      <c r="J10" s="1">
        <v>16</v>
      </c>
      <c r="K10" s="1">
        <f t="shared" ref="K10:K26" si="3">SUM(F10:I10)</f>
        <v>116</v>
      </c>
      <c r="L10" s="1">
        <v>500</v>
      </c>
      <c r="M10" s="1">
        <f t="shared" si="1"/>
        <v>23.200000000000003</v>
      </c>
      <c r="N10" s="1"/>
      <c r="O10" s="2" t="str">
        <f t="shared" si="2"/>
        <v>FAIL</v>
      </c>
    </row>
    <row r="11" spans="4:15" x14ac:dyDescent="0.25">
      <c r="D11" s="1">
        <v>5</v>
      </c>
      <c r="E11" s="1" t="s">
        <v>13</v>
      </c>
      <c r="F11" s="1">
        <v>20</v>
      </c>
      <c r="G11" s="1">
        <v>64</v>
      </c>
      <c r="H11" s="1">
        <v>100</v>
      </c>
      <c r="I11" s="1">
        <v>100</v>
      </c>
      <c r="J11" s="1">
        <v>20</v>
      </c>
      <c r="K11" s="3">
        <f t="shared" ref="K11" si="4">SUM(F11:J11)</f>
        <v>304</v>
      </c>
      <c r="L11" s="3">
        <v>500</v>
      </c>
      <c r="M11" s="3">
        <f t="shared" si="1"/>
        <v>60.8</v>
      </c>
      <c r="N11" s="3"/>
      <c r="O11" s="4" t="str">
        <f t="shared" si="2"/>
        <v>PASS</v>
      </c>
    </row>
    <row r="12" spans="4:15" x14ac:dyDescent="0.25">
      <c r="D12" s="1">
        <v>6</v>
      </c>
      <c r="E12" s="1" t="s">
        <v>14</v>
      </c>
      <c r="F12" s="1">
        <v>24</v>
      </c>
      <c r="G12" s="1">
        <v>60</v>
      </c>
      <c r="H12" s="1">
        <v>30</v>
      </c>
      <c r="I12" s="1">
        <v>18</v>
      </c>
      <c r="J12" s="1">
        <v>62</v>
      </c>
      <c r="K12" s="1">
        <f t="shared" ref="K12:K26" si="5">SUM(F12:I12)</f>
        <v>132</v>
      </c>
      <c r="L12" s="1">
        <v>500</v>
      </c>
      <c r="M12" s="1">
        <f t="shared" si="1"/>
        <v>26.400000000000002</v>
      </c>
      <c r="N12" s="1"/>
      <c r="O12" s="2" t="str">
        <f t="shared" si="2"/>
        <v>FAIL</v>
      </c>
    </row>
    <row r="13" spans="4:15" x14ac:dyDescent="0.25">
      <c r="D13" s="1">
        <v>7</v>
      </c>
      <c r="E13" s="1" t="s">
        <v>15</v>
      </c>
      <c r="F13" s="1">
        <v>28</v>
      </c>
      <c r="G13" s="1">
        <v>56</v>
      </c>
      <c r="H13" s="1">
        <v>35</v>
      </c>
      <c r="I13" s="1">
        <v>21</v>
      </c>
      <c r="J13" s="1">
        <v>75</v>
      </c>
      <c r="K13" s="3">
        <f t="shared" ref="K13" si="6">SUM(F13:J13)</f>
        <v>215</v>
      </c>
      <c r="L13" s="3">
        <v>500</v>
      </c>
      <c r="M13" s="3">
        <f t="shared" si="1"/>
        <v>43</v>
      </c>
      <c r="N13" s="3"/>
      <c r="O13" s="4" t="str">
        <f t="shared" si="2"/>
        <v>FAIL</v>
      </c>
    </row>
    <row r="14" spans="4:15" x14ac:dyDescent="0.25">
      <c r="D14" s="1">
        <v>8</v>
      </c>
      <c r="E14" s="1" t="s">
        <v>16</v>
      </c>
      <c r="F14" s="1">
        <v>32</v>
      </c>
      <c r="G14" s="1">
        <v>100</v>
      </c>
      <c r="H14" s="1">
        <v>100</v>
      </c>
      <c r="I14" s="1">
        <v>24</v>
      </c>
      <c r="J14" s="1">
        <v>25</v>
      </c>
      <c r="K14" s="1">
        <f t="shared" ref="K14:K26" si="7">SUM(F14:I14)</f>
        <v>256</v>
      </c>
      <c r="L14" s="1">
        <v>500</v>
      </c>
      <c r="M14" s="1">
        <f t="shared" si="1"/>
        <v>51.2</v>
      </c>
      <c r="N14" s="1"/>
      <c r="O14" s="2" t="str">
        <f t="shared" si="2"/>
        <v>PASS</v>
      </c>
    </row>
    <row r="15" spans="4:15" x14ac:dyDescent="0.25">
      <c r="D15" s="1">
        <v>9</v>
      </c>
      <c r="E15" s="1" t="s">
        <v>17</v>
      </c>
      <c r="F15" s="1">
        <v>36</v>
      </c>
      <c r="G15" s="1">
        <v>48</v>
      </c>
      <c r="H15" s="1">
        <v>100</v>
      </c>
      <c r="I15" s="1">
        <v>27</v>
      </c>
      <c r="J15" s="1">
        <v>26</v>
      </c>
      <c r="K15" s="3">
        <f t="shared" ref="K15" si="8">SUM(F15:J15)</f>
        <v>237</v>
      </c>
      <c r="L15" s="3">
        <v>500</v>
      </c>
      <c r="M15" s="3">
        <f t="shared" si="1"/>
        <v>47.4</v>
      </c>
      <c r="N15" s="3"/>
      <c r="O15" s="4" t="str">
        <f t="shared" si="2"/>
        <v>FAIL</v>
      </c>
    </row>
    <row r="16" spans="4:15" x14ac:dyDescent="0.25">
      <c r="D16" s="1">
        <v>10</v>
      </c>
      <c r="E16" s="1" t="s">
        <v>18</v>
      </c>
      <c r="F16" s="1">
        <v>40</v>
      </c>
      <c r="G16" s="1">
        <v>44</v>
      </c>
      <c r="H16" s="1">
        <v>50</v>
      </c>
      <c r="I16" s="1">
        <v>30</v>
      </c>
      <c r="J16" s="1">
        <v>86</v>
      </c>
      <c r="K16" s="1">
        <f t="shared" ref="K16:K26" si="9">SUM(F16:I16)</f>
        <v>164</v>
      </c>
      <c r="L16" s="1">
        <v>500</v>
      </c>
      <c r="M16" s="1">
        <f t="shared" si="1"/>
        <v>32.800000000000004</v>
      </c>
      <c r="N16" s="1"/>
      <c r="O16" s="2" t="str">
        <f t="shared" si="2"/>
        <v>FAIL</v>
      </c>
    </row>
    <row r="17" spans="4:15" x14ac:dyDescent="0.25">
      <c r="D17" s="1">
        <v>11</v>
      </c>
      <c r="E17" s="1" t="s">
        <v>19</v>
      </c>
      <c r="F17" s="1">
        <v>44</v>
      </c>
      <c r="G17" s="1">
        <v>100</v>
      </c>
      <c r="H17" s="1">
        <v>55</v>
      </c>
      <c r="I17" s="1">
        <v>33</v>
      </c>
      <c r="J17" s="1">
        <v>50</v>
      </c>
      <c r="K17" s="3">
        <f t="shared" ref="K17" si="10">SUM(F17:J17)</f>
        <v>282</v>
      </c>
      <c r="L17" s="3">
        <v>500</v>
      </c>
      <c r="M17" s="3">
        <f t="shared" si="1"/>
        <v>56.399999999999991</v>
      </c>
      <c r="N17" s="3"/>
      <c r="O17" s="4" t="str">
        <f t="shared" si="2"/>
        <v>PASS</v>
      </c>
    </row>
    <row r="18" spans="4:15" x14ac:dyDescent="0.25">
      <c r="D18" s="1">
        <v>12</v>
      </c>
      <c r="E18" s="1" t="s">
        <v>20</v>
      </c>
      <c r="F18" s="1">
        <v>48</v>
      </c>
      <c r="G18" s="1">
        <v>36</v>
      </c>
      <c r="H18" s="1">
        <v>60</v>
      </c>
      <c r="I18" s="1">
        <v>36</v>
      </c>
      <c r="J18" s="1">
        <v>60</v>
      </c>
      <c r="K18" s="1">
        <f t="shared" ref="K18:K26" si="11">SUM(F18:I18)</f>
        <v>180</v>
      </c>
      <c r="L18" s="1">
        <v>500</v>
      </c>
      <c r="M18" s="1">
        <f t="shared" si="1"/>
        <v>36</v>
      </c>
      <c r="N18" s="1"/>
      <c r="O18" s="2" t="str">
        <f t="shared" si="2"/>
        <v>FAIL</v>
      </c>
    </row>
    <row r="19" spans="4:15" x14ac:dyDescent="0.25">
      <c r="D19" s="1">
        <v>13</v>
      </c>
      <c r="E19" s="1" t="s">
        <v>21</v>
      </c>
      <c r="F19" s="1">
        <v>52</v>
      </c>
      <c r="G19" s="1">
        <v>32</v>
      </c>
      <c r="H19" s="1">
        <v>65</v>
      </c>
      <c r="I19" s="1">
        <v>39</v>
      </c>
      <c r="J19" s="1">
        <v>54</v>
      </c>
      <c r="K19" s="3">
        <f t="shared" ref="K19" si="12">SUM(F19:J19)</f>
        <v>242</v>
      </c>
      <c r="L19" s="3">
        <v>500</v>
      </c>
      <c r="M19" s="3">
        <f t="shared" si="1"/>
        <v>48.4</v>
      </c>
      <c r="N19" s="3"/>
      <c r="O19" s="4" t="str">
        <f t="shared" si="2"/>
        <v>FAIL</v>
      </c>
    </row>
    <row r="20" spans="4:15" x14ac:dyDescent="0.25">
      <c r="D20" s="1">
        <v>14</v>
      </c>
      <c r="E20" s="1" t="s">
        <v>22</v>
      </c>
      <c r="F20" s="1">
        <v>56</v>
      </c>
      <c r="G20" s="1">
        <v>28</v>
      </c>
      <c r="H20" s="1">
        <v>70</v>
      </c>
      <c r="I20" s="1">
        <v>42</v>
      </c>
      <c r="J20" s="1">
        <v>20</v>
      </c>
      <c r="K20" s="1">
        <f t="shared" ref="K20:K26" si="13">SUM(F20:I20)</f>
        <v>196</v>
      </c>
      <c r="L20" s="1">
        <v>500</v>
      </c>
      <c r="M20" s="1">
        <f t="shared" si="1"/>
        <v>39.200000000000003</v>
      </c>
      <c r="N20" s="1"/>
      <c r="O20" s="2" t="str">
        <f t="shared" si="2"/>
        <v>FAIL</v>
      </c>
    </row>
    <row r="21" spans="4:15" x14ac:dyDescent="0.25">
      <c r="D21" s="1">
        <v>15</v>
      </c>
      <c r="E21" s="1" t="s">
        <v>23</v>
      </c>
      <c r="F21" s="1">
        <v>60</v>
      </c>
      <c r="G21" s="1">
        <v>24</v>
      </c>
      <c r="H21" s="1">
        <v>75</v>
      </c>
      <c r="I21" s="1">
        <v>45</v>
      </c>
      <c r="J21" s="1">
        <v>52</v>
      </c>
      <c r="K21" s="3">
        <f t="shared" ref="K21" si="14">SUM(F21:J21)</f>
        <v>256</v>
      </c>
      <c r="L21" s="3">
        <v>500</v>
      </c>
      <c r="M21" s="3">
        <f t="shared" si="1"/>
        <v>51.2</v>
      </c>
      <c r="N21" s="3"/>
      <c r="O21" s="4" t="str">
        <f t="shared" si="2"/>
        <v>PASS</v>
      </c>
    </row>
    <row r="22" spans="4:15" x14ac:dyDescent="0.25">
      <c r="D22" s="1">
        <v>16</v>
      </c>
      <c r="E22" s="1" t="s">
        <v>24</v>
      </c>
      <c r="F22" s="1">
        <v>64</v>
      </c>
      <c r="G22" s="1">
        <v>20</v>
      </c>
      <c r="H22" s="1">
        <v>80</v>
      </c>
      <c r="I22" s="1">
        <v>48</v>
      </c>
      <c r="J22" s="1">
        <v>32</v>
      </c>
      <c r="K22" s="1">
        <f t="shared" ref="K22:K26" si="15">SUM(F22:I22)</f>
        <v>212</v>
      </c>
      <c r="L22" s="1">
        <v>500</v>
      </c>
      <c r="M22" s="1">
        <f t="shared" si="1"/>
        <v>42.4</v>
      </c>
      <c r="N22" s="1"/>
      <c r="O22" s="2" t="str">
        <f t="shared" si="2"/>
        <v>FAIL</v>
      </c>
    </row>
    <row r="23" spans="4:15" x14ac:dyDescent="0.25">
      <c r="D23" s="1">
        <v>17</v>
      </c>
      <c r="E23" s="1" t="s">
        <v>25</v>
      </c>
      <c r="F23" s="1">
        <v>68</v>
      </c>
      <c r="G23" s="1">
        <v>16</v>
      </c>
      <c r="H23" s="1">
        <v>85</v>
      </c>
      <c r="I23" s="1">
        <v>51</v>
      </c>
      <c r="J23" s="1">
        <v>15</v>
      </c>
      <c r="K23" s="3">
        <f t="shared" ref="K23" si="16">SUM(F23:J23)</f>
        <v>235</v>
      </c>
      <c r="L23" s="3">
        <v>500</v>
      </c>
      <c r="M23" s="3">
        <f t="shared" si="1"/>
        <v>47</v>
      </c>
      <c r="N23" s="3"/>
      <c r="O23" s="4" t="str">
        <f t="shared" si="2"/>
        <v>FAIL</v>
      </c>
    </row>
    <row r="24" spans="4:15" x14ac:dyDescent="0.25">
      <c r="D24" s="1">
        <v>18</v>
      </c>
      <c r="E24" s="1" t="s">
        <v>26</v>
      </c>
      <c r="F24" s="1">
        <v>72</v>
      </c>
      <c r="G24" s="1">
        <v>12</v>
      </c>
      <c r="H24" s="1">
        <v>90</v>
      </c>
      <c r="I24" s="1">
        <v>54</v>
      </c>
      <c r="J24" s="1">
        <v>45</v>
      </c>
      <c r="K24" s="1">
        <f t="shared" ref="K24:K26" si="17">SUM(F24:I24)</f>
        <v>228</v>
      </c>
      <c r="L24" s="1">
        <v>500</v>
      </c>
      <c r="M24" s="1">
        <f t="shared" si="1"/>
        <v>45.6</v>
      </c>
      <c r="N24" s="1"/>
      <c r="O24" s="2" t="str">
        <f t="shared" si="2"/>
        <v>FAIL</v>
      </c>
    </row>
    <row r="25" spans="4:15" x14ac:dyDescent="0.25">
      <c r="D25" s="1">
        <v>19</v>
      </c>
      <c r="E25" s="1" t="s">
        <v>27</v>
      </c>
      <c r="F25" s="1">
        <v>76</v>
      </c>
      <c r="G25" s="1">
        <v>8</v>
      </c>
      <c r="H25" s="1">
        <v>95</v>
      </c>
      <c r="I25" s="1">
        <v>57</v>
      </c>
      <c r="J25" s="1">
        <v>60</v>
      </c>
      <c r="K25" s="3">
        <f t="shared" ref="K25" si="18">SUM(F25:J25)</f>
        <v>296</v>
      </c>
      <c r="L25" s="3">
        <v>500</v>
      </c>
      <c r="M25" s="3">
        <f t="shared" si="1"/>
        <v>59.199999999999996</v>
      </c>
      <c r="N25" s="3"/>
      <c r="O25" s="4" t="str">
        <f t="shared" si="2"/>
        <v>PASS</v>
      </c>
    </row>
    <row r="26" spans="4:15" x14ac:dyDescent="0.25">
      <c r="D26" s="1">
        <v>20</v>
      </c>
      <c r="E26" s="1" t="s">
        <v>28</v>
      </c>
      <c r="F26" s="1">
        <v>80</v>
      </c>
      <c r="G26" s="1">
        <v>4</v>
      </c>
      <c r="H26" s="1">
        <v>100</v>
      </c>
      <c r="I26" s="1">
        <v>60</v>
      </c>
      <c r="J26" s="1">
        <v>80</v>
      </c>
      <c r="K26" s="1">
        <f t="shared" ref="K26" si="19">SUM(F26:I26)</f>
        <v>244</v>
      </c>
      <c r="L26" s="1">
        <v>500</v>
      </c>
      <c r="M26" s="1">
        <f t="shared" si="1"/>
        <v>48.8</v>
      </c>
      <c r="N26" s="1"/>
      <c r="O26" s="2" t="str">
        <f t="shared" si="2"/>
        <v>FAIL</v>
      </c>
    </row>
  </sheetData>
  <mergeCells count="13">
    <mergeCell ref="J5:J6"/>
    <mergeCell ref="K5:K6"/>
    <mergeCell ref="M5:M6"/>
    <mergeCell ref="N5:N6"/>
    <mergeCell ref="O5:O6"/>
    <mergeCell ref="D2:O4"/>
    <mergeCell ref="L5:L6"/>
    <mergeCell ref="E5:E6"/>
    <mergeCell ref="F5:F6"/>
    <mergeCell ref="D5:D6"/>
    <mergeCell ref="G5:G6"/>
    <mergeCell ref="H5:H6"/>
    <mergeCell ref="I5:I6"/>
  </mergeCells>
  <phoneticPr fontId="1" type="noConversion"/>
  <conditionalFormatting sqref="O7:O26">
    <cfRule type="containsText" dxfId="3" priority="3" operator="containsText" text="PASS">
      <formula>NOT(ISERROR(SEARCH("PASS",O7)))</formula>
    </cfRule>
    <cfRule type="containsText" dxfId="2" priority="4" operator="containsText" text="FAIL">
      <formula>NOT(ISERROR(SEARCH("FAIL",O7)))</formula>
    </cfRule>
  </conditionalFormatting>
  <conditionalFormatting sqref="K7:K26">
    <cfRule type="cellIs" dxfId="1" priority="1" operator="greaterThan">
      <formula>250</formula>
    </cfRule>
    <cfRule type="cellIs" dxfId="0" priority="2" operator="lessThan">
      <formula>250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Pearl Institute</dc:creator>
  <cp:lastModifiedBy>Pearl Institute</cp:lastModifiedBy>
  <dcterms:created xsi:type="dcterms:W3CDTF">2026-02-09T06:14:25Z</dcterms:created>
  <dcterms:modified xsi:type="dcterms:W3CDTF">2026-02-09T10:11:00Z</dcterms:modified>
</cp:coreProperties>
</file>