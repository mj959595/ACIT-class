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sadiq\Desktop\"/>
    </mc:Choice>
  </mc:AlternateContent>
  <xr:revisionPtr revIDLastSave="0" documentId="13_ncr:1_{8748CB3D-9506-46F5-A8B4-34709A4D5B7F}" xr6:coauthVersionLast="47" xr6:coauthVersionMax="47" xr10:uidLastSave="{00000000-0000-0000-0000-000000000000}"/>
  <bookViews>
    <workbookView xWindow="-120" yWindow="-120" windowWidth="20730" windowHeight="11040" xr2:uid="{BD8D671C-FF3F-4D3B-A8D3-7FA9BEC6AA31}"/>
  </bookViews>
  <sheets>
    <sheet name="Sheet1" sheetId="1" r:id="rId1"/>
  </sheets>
  <definedNames>
    <definedName name="_xlnm._FilterDatabase" localSheetId="0" hidden="1">Sheet1!$I$6:$I$15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M8" i="1"/>
  <c r="M6" i="1"/>
  <c r="I6" i="1"/>
  <c r="K6" i="1" s="1"/>
  <c r="J15" i="1"/>
  <c r="J14" i="1"/>
  <c r="J8" i="1"/>
  <c r="J6" i="1"/>
  <c r="J7" i="1"/>
  <c r="J9" i="1"/>
  <c r="J11" i="1"/>
  <c r="J10" i="1"/>
  <c r="J13" i="1"/>
  <c r="J12" i="1"/>
  <c r="I15" i="1"/>
  <c r="K15" i="1" s="1"/>
  <c r="M15" i="1" s="1"/>
  <c r="I14" i="1"/>
  <c r="K14" i="1" s="1"/>
  <c r="M14" i="1" s="1"/>
  <c r="I8" i="1"/>
  <c r="K8" i="1" s="1"/>
  <c r="L8" i="1" s="1"/>
  <c r="I7" i="1"/>
  <c r="K7" i="1" s="1"/>
  <c r="L7" i="1" s="1"/>
  <c r="I9" i="1"/>
  <c r="K9" i="1" s="1"/>
  <c r="L9" i="1" s="1"/>
  <c r="I11" i="1"/>
  <c r="K11" i="1" s="1"/>
  <c r="L11" i="1" s="1"/>
  <c r="I10" i="1"/>
  <c r="K10" i="1" s="1"/>
  <c r="L10" i="1" s="1"/>
  <c r="I13" i="1"/>
  <c r="K13" i="1" s="1"/>
  <c r="L13" i="1" s="1"/>
  <c r="F24" i="1" s="1"/>
  <c r="I12" i="1"/>
  <c r="K12" i="1" s="1"/>
  <c r="M12" i="1" s="1"/>
  <c r="L14" i="1" l="1"/>
  <c r="F26" i="1"/>
  <c r="L15" i="1"/>
  <c r="L6" i="1"/>
  <c r="M13" i="1"/>
  <c r="F25" i="1" s="1"/>
  <c r="M9" i="1"/>
  <c r="F22" i="1"/>
  <c r="M11" i="1"/>
  <c r="F23" i="1"/>
  <c r="M10" i="1"/>
</calcChain>
</file>

<file path=xl/sharedStrings.xml><?xml version="1.0" encoding="utf-8"?>
<sst xmlns="http://schemas.openxmlformats.org/spreadsheetml/2006/main" count="40" uniqueCount="38">
  <si>
    <t>Registration numbers</t>
  </si>
  <si>
    <t>RG-001</t>
  </si>
  <si>
    <t>RG-002</t>
  </si>
  <si>
    <t>RG-003</t>
  </si>
  <si>
    <t>RG-004</t>
  </si>
  <si>
    <t>RG-005</t>
  </si>
  <si>
    <t>RG-006</t>
  </si>
  <si>
    <t>RG-007</t>
  </si>
  <si>
    <t>RG-008</t>
  </si>
  <si>
    <t>RG-009</t>
  </si>
  <si>
    <t>RG-010</t>
  </si>
  <si>
    <t>Name</t>
  </si>
  <si>
    <t>Hikmatullah</t>
  </si>
  <si>
    <t>Muhammad Azan</t>
  </si>
  <si>
    <t>Syed Sufiyan</t>
  </si>
  <si>
    <t>Muhammad Hammad</t>
  </si>
  <si>
    <t>Muhammad Zahid</t>
  </si>
  <si>
    <t>Muhammad Zahir</t>
  </si>
  <si>
    <t>Muhammad Awais</t>
  </si>
  <si>
    <t>SOHAIL AHMED</t>
  </si>
  <si>
    <t>Ahmed Sufiyan</t>
  </si>
  <si>
    <t>Aimal</t>
  </si>
  <si>
    <t>Phy</t>
  </si>
  <si>
    <t>Che</t>
  </si>
  <si>
    <t>Eng</t>
  </si>
  <si>
    <t>Pak</t>
  </si>
  <si>
    <t>Math</t>
  </si>
  <si>
    <t>Total</t>
  </si>
  <si>
    <t>Obtained marks</t>
  </si>
  <si>
    <t>%age</t>
  </si>
  <si>
    <t>Grade</t>
  </si>
  <si>
    <t>staus</t>
  </si>
  <si>
    <t>Position</t>
  </si>
  <si>
    <t>enter name</t>
  </si>
  <si>
    <t>obtain marks</t>
  </si>
  <si>
    <t xml:space="preserve">grade </t>
  </si>
  <si>
    <t>position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</si>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</sst>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5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19</xdr:row>
      <xdr:rowOff>85725</xdr:rowOff>
    </xdr:from>
    <xdr:to>
      <xdr:col>4</xdr:col>
      <xdr:colOff>647700</xdr:colOff>
      <xdr:row>20</xdr:row>
      <xdr:rowOff>142875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587AB31-2413-520C-B1A8-04E6AE0058EB}"/>
            </a:ext>
          </a:extLst>
        </xdr:cNvPr>
        <xdr:cNvSpPr/>
      </xdr:nvSpPr>
      <xdr:spPr>
        <a:xfrm>
          <a:off x="4276725" y="3705225"/>
          <a:ext cx="428625" cy="247650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830A-7495-4776-B0F9-4771960B96D1}">
  <dimension ref="A5:U27"/>
  <sheetViews>
    <sheetView tabSelected="1" topLeftCell="A6" workbookViewId="0">
      <selection activeCell="E15" sqref="E15"/>
    </sheetView>
  </sheetViews>
  <sheetFormatPr defaultRowHeight="15" x14ac:dyDescent="0.25"/>
  <cols>
    <col min="1" max="1" width="20.28515625" bestFit="1" customWidth="1"/>
    <col min="2" max="2" width="20.140625" bestFit="1" customWidth="1"/>
    <col min="4" max="5" width="12.42578125" bestFit="1" customWidth="1"/>
    <col min="6" max="6" width="12.28515625" bestFit="1" customWidth="1"/>
    <col min="9" max="9" width="15.140625" bestFit="1" customWidth="1"/>
    <col min="10" max="10" width="5.5703125" bestFit="1" customWidth="1"/>
    <col min="11" max="11" width="5.7109375" bestFit="1" customWidth="1"/>
    <col min="12" max="12" width="6.28515625" bestFit="1" customWidth="1"/>
    <col min="13" max="13" width="8.28515625" bestFit="1" customWidth="1"/>
    <col min="16" max="16" width="11.28515625" bestFit="1" customWidth="1"/>
    <col min="17" max="17" width="17" bestFit="1" customWidth="1"/>
  </cols>
  <sheetData>
    <row r="5" spans="1:21" x14ac:dyDescent="0.25">
      <c r="A5" s="13" t="s">
        <v>0</v>
      </c>
      <c r="B5" s="13" t="s">
        <v>11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 t="s">
        <v>28</v>
      </c>
      <c r="J5" s="13" t="s">
        <v>31</v>
      </c>
      <c r="K5" s="13" t="s">
        <v>29</v>
      </c>
      <c r="L5" s="13" t="s">
        <v>30</v>
      </c>
      <c r="M5" s="14" t="s">
        <v>32</v>
      </c>
      <c r="N5" s="5"/>
      <c r="O5" s="5"/>
      <c r="R5" s="5"/>
      <c r="S5" s="5"/>
    </row>
    <row r="6" spans="1:21" x14ac:dyDescent="0.25">
      <c r="A6" s="16" t="s">
        <v>5</v>
      </c>
      <c r="B6" s="2" t="s">
        <v>16</v>
      </c>
      <c r="C6" s="1">
        <v>90</v>
      </c>
      <c r="D6" s="1">
        <v>99</v>
      </c>
      <c r="E6" s="1">
        <v>89</v>
      </c>
      <c r="F6" s="1">
        <v>89</v>
      </c>
      <c r="G6" s="1">
        <v>88</v>
      </c>
      <c r="H6" s="16">
        <v>500</v>
      </c>
      <c r="I6" s="16">
        <f t="shared" ref="I6:I15" si="0">SUM(C6:G6)</f>
        <v>455</v>
      </c>
      <c r="J6" s="1" t="str">
        <f>IF(C6&lt;35,"fail",IF(D6&lt;35,"fail",IF(E6&lt;35,"fail",IF(F6&lt;35,"Fail",IF(G6&lt;35,"fail","Pass")))))</f>
        <v>Pass</v>
      </c>
      <c r="K6" s="15">
        <f t="shared" ref="K6:K15" si="1">I6/H6*100</f>
        <v>91</v>
      </c>
      <c r="L6" s="1" t="str">
        <f t="shared" ref="L6:L11" si="2">IF(K6&gt;=90,"A+",IF(K6&gt;=80,"A",IF(K6&gt;=70,"B",IF(K6&gt;=60,"C","------"))))</f>
        <v>A+</v>
      </c>
      <c r="M6" s="3" t="str">
        <f>IF(K6&gt;=90,"First",IF(K6&gt;80,"Second",IF(K6&gt;79,"Third","------")))</f>
        <v>First</v>
      </c>
      <c r="N6" s="5"/>
      <c r="O6" s="5"/>
      <c r="R6" s="5"/>
      <c r="S6" s="5"/>
    </row>
    <row r="7" spans="1:21" x14ac:dyDescent="0.25">
      <c r="A7" s="16" t="s">
        <v>6</v>
      </c>
      <c r="B7" s="2" t="s">
        <v>17</v>
      </c>
      <c r="C7" s="1">
        <v>93</v>
      </c>
      <c r="D7" s="1">
        <v>80</v>
      </c>
      <c r="E7" s="1">
        <v>66</v>
      </c>
      <c r="F7" s="1">
        <v>92</v>
      </c>
      <c r="G7" s="1">
        <v>88</v>
      </c>
      <c r="H7" s="16">
        <v>500</v>
      </c>
      <c r="I7" s="16">
        <f t="shared" si="0"/>
        <v>419</v>
      </c>
      <c r="J7" s="1" t="str">
        <f>IF(C7&lt;35,"fail",IF(D7&lt;35,"fail",IF(E7&lt;35,"fail",IF(F7&lt;35,"Fail",IF(G7&lt;35,"fail","Pass")))))</f>
        <v>Pass</v>
      </c>
      <c r="K7" s="15">
        <f t="shared" si="1"/>
        <v>83.8</v>
      </c>
      <c r="L7" s="1" t="str">
        <f t="shared" si="2"/>
        <v>A</v>
      </c>
      <c r="M7" s="3" t="str">
        <f t="shared" ref="M7:M8" si="3">IF(K7&gt;=90,"First",IF(K7&gt;80,"Second",IF(K7&gt;79,"Third","------")))</f>
        <v>Second</v>
      </c>
      <c r="N7" s="5"/>
      <c r="O7" s="5"/>
      <c r="R7" s="5"/>
      <c r="S7" s="5"/>
    </row>
    <row r="8" spans="1:21" x14ac:dyDescent="0.25">
      <c r="A8" s="16" t="s">
        <v>4</v>
      </c>
      <c r="B8" s="2" t="s">
        <v>15</v>
      </c>
      <c r="C8" s="1">
        <v>49</v>
      </c>
      <c r="D8" s="1">
        <v>86</v>
      </c>
      <c r="E8" s="1">
        <v>88</v>
      </c>
      <c r="F8" s="1">
        <v>87</v>
      </c>
      <c r="G8" s="1">
        <v>90</v>
      </c>
      <c r="H8" s="16">
        <v>500</v>
      </c>
      <c r="I8" s="16">
        <f t="shared" si="0"/>
        <v>400</v>
      </c>
      <c r="J8" s="1" t="str">
        <f>IF(C8&lt;35,"fail",IF(D8&lt;35,"fail",IF(E8&lt;35,"fail",IF(F8&lt;35,"Fail",IF(G8&lt;35,"fail","Pass")))))</f>
        <v>Pass</v>
      </c>
      <c r="K8" s="15">
        <f t="shared" si="1"/>
        <v>80</v>
      </c>
      <c r="L8" s="1" t="str">
        <f t="shared" si="2"/>
        <v>A</v>
      </c>
      <c r="M8" s="3" t="str">
        <f t="shared" si="3"/>
        <v>Third</v>
      </c>
      <c r="N8" s="5"/>
      <c r="O8" s="5"/>
      <c r="P8" s="5"/>
      <c r="Q8" s="5"/>
      <c r="R8" s="5"/>
      <c r="S8" s="5"/>
    </row>
    <row r="9" spans="1:21" x14ac:dyDescent="0.25">
      <c r="A9" s="16" t="s">
        <v>7</v>
      </c>
      <c r="B9" s="2" t="s">
        <v>18</v>
      </c>
      <c r="C9" s="1">
        <v>99</v>
      </c>
      <c r="D9" s="1">
        <v>73</v>
      </c>
      <c r="E9" s="1">
        <v>77</v>
      </c>
      <c r="F9" s="1">
        <v>40</v>
      </c>
      <c r="G9" s="1">
        <v>85</v>
      </c>
      <c r="H9" s="16">
        <v>500</v>
      </c>
      <c r="I9" s="16">
        <f t="shared" si="0"/>
        <v>374</v>
      </c>
      <c r="J9" s="1" t="str">
        <f>IF(C9&lt;35,"fail",IF(D9&lt;35,"fail",IF(E9&lt;35,"fail",IF(F9&lt;35,"Fail",IF(G9&lt;35,"fail","Pass")))))</f>
        <v>Pass</v>
      </c>
      <c r="K9" s="15">
        <f t="shared" si="1"/>
        <v>74.8</v>
      </c>
      <c r="L9" s="1" t="str">
        <f t="shared" si="2"/>
        <v>B</v>
      </c>
      <c r="M9" s="3" t="str">
        <f t="shared" ref="M7:M15" si="4">IF(K9&gt;=90,"First",IF(K9&gt;80,"Second",IF(K9&gt;79,"Third","------")))</f>
        <v>------</v>
      </c>
      <c r="N9" s="5"/>
      <c r="O9" s="5"/>
      <c r="P9" s="5"/>
      <c r="Q9" s="5"/>
      <c r="R9" s="5"/>
      <c r="S9" s="5"/>
      <c r="T9" s="4"/>
      <c r="U9" s="1"/>
    </row>
    <row r="10" spans="1:21" x14ac:dyDescent="0.25">
      <c r="A10" s="16" t="s">
        <v>9</v>
      </c>
      <c r="B10" s="2" t="s">
        <v>20</v>
      </c>
      <c r="C10" s="1">
        <v>99</v>
      </c>
      <c r="D10" s="1">
        <v>58</v>
      </c>
      <c r="E10" s="1">
        <v>49</v>
      </c>
      <c r="F10" s="1">
        <v>36</v>
      </c>
      <c r="G10" s="1">
        <v>85</v>
      </c>
      <c r="H10" s="16">
        <v>500</v>
      </c>
      <c r="I10" s="16">
        <f t="shared" si="0"/>
        <v>327</v>
      </c>
      <c r="J10" s="1" t="str">
        <f>IF(C10&lt;35,"fail",IF(D10&lt;35,"fail",IF(E10&lt;35,"fail",IF(F10&lt;35,"Fail",IF(G10&lt;35,"fail","Pass")))))</f>
        <v>Pass</v>
      </c>
      <c r="K10" s="15">
        <f t="shared" si="1"/>
        <v>65.400000000000006</v>
      </c>
      <c r="L10" s="1" t="str">
        <f t="shared" si="2"/>
        <v>C</v>
      </c>
      <c r="M10" s="3" t="str">
        <f t="shared" si="4"/>
        <v>------</v>
      </c>
      <c r="N10" s="5"/>
      <c r="O10" s="5"/>
      <c r="P10" s="5"/>
      <c r="Q10" s="5"/>
      <c r="R10" s="5"/>
      <c r="S10" s="5"/>
    </row>
    <row r="11" spans="1:21" x14ac:dyDescent="0.25">
      <c r="A11" s="16" t="s">
        <v>8</v>
      </c>
      <c r="B11" s="2" t="s">
        <v>19</v>
      </c>
      <c r="C11" s="1">
        <v>49</v>
      </c>
      <c r="D11" s="1">
        <v>99</v>
      </c>
      <c r="E11" s="1">
        <v>55</v>
      </c>
      <c r="F11" s="1">
        <v>66</v>
      </c>
      <c r="G11" s="1">
        <v>47</v>
      </c>
      <c r="H11" s="16">
        <v>500</v>
      </c>
      <c r="I11" s="16">
        <f t="shared" si="0"/>
        <v>316</v>
      </c>
      <c r="J11" s="1" t="str">
        <f>IF(C11&lt;35,"fail",IF(D11&lt;35,"fail",IF(E11&lt;35,"fail",IF(F11&lt;35,"Fail",IF(G11&lt;35,"fail","Pass")))))</f>
        <v>Pass</v>
      </c>
      <c r="K11" s="15">
        <f t="shared" si="1"/>
        <v>63.2</v>
      </c>
      <c r="L11" s="1" t="str">
        <f t="shared" si="2"/>
        <v>C</v>
      </c>
      <c r="M11" s="3" t="str">
        <f t="shared" si="4"/>
        <v>------</v>
      </c>
      <c r="N11" s="5"/>
      <c r="O11" s="5"/>
      <c r="P11" s="5"/>
      <c r="Q11" s="5"/>
      <c r="R11" s="5"/>
      <c r="S11" s="5"/>
    </row>
    <row r="12" spans="1:21" x14ac:dyDescent="0.25">
      <c r="A12" s="16" t="s">
        <v>1</v>
      </c>
      <c r="B12" s="1" t="s">
        <v>12</v>
      </c>
      <c r="C12" s="1">
        <v>75</v>
      </c>
      <c r="D12" s="1">
        <v>43</v>
      </c>
      <c r="E12" s="1">
        <v>63</v>
      </c>
      <c r="F12" s="1">
        <v>61</v>
      </c>
      <c r="G12" s="1">
        <v>44</v>
      </c>
      <c r="H12" s="16">
        <v>500</v>
      </c>
      <c r="I12" s="16">
        <f t="shared" si="0"/>
        <v>286</v>
      </c>
      <c r="J12" s="1" t="str">
        <f>IF(C12&lt;35,"fail",IF(D12&lt;35,"fail",IF(E12&lt;35,"fail",IF(F12&lt;35,"Fail",IF(G12&lt;35,"fail","Pass")))))</f>
        <v>Pass</v>
      </c>
      <c r="K12" s="15">
        <f t="shared" si="1"/>
        <v>57.199999999999996</v>
      </c>
      <c r="L12" s="1"/>
      <c r="M12" s="3" t="str">
        <f t="shared" si="4"/>
        <v>------</v>
      </c>
      <c r="N12" s="5"/>
      <c r="O12" s="5"/>
      <c r="P12" s="5"/>
      <c r="Q12" s="5"/>
      <c r="R12" s="5"/>
      <c r="S12" s="5"/>
    </row>
    <row r="13" spans="1:21" x14ac:dyDescent="0.25">
      <c r="A13" s="16" t="s">
        <v>10</v>
      </c>
      <c r="B13" s="1" t="s">
        <v>21</v>
      </c>
      <c r="C13" s="1">
        <v>37</v>
      </c>
      <c r="D13" s="1">
        <v>49</v>
      </c>
      <c r="E13" s="1">
        <v>45</v>
      </c>
      <c r="F13" s="1">
        <v>42</v>
      </c>
      <c r="G13" s="1">
        <v>88</v>
      </c>
      <c r="H13" s="16">
        <v>500</v>
      </c>
      <c r="I13" s="16">
        <f t="shared" si="0"/>
        <v>261</v>
      </c>
      <c r="J13" s="1" t="str">
        <f>IF(C13&lt;35,"fail",IF(D13&lt;35,"fail",IF(E13&lt;35,"fail",IF(F13&lt;35,"Fail",IF(G13&lt;35,"fail","Pass")))))</f>
        <v>Pass</v>
      </c>
      <c r="K13" s="15">
        <f t="shared" si="1"/>
        <v>52.2</v>
      </c>
      <c r="L13" s="1" t="str">
        <f>IF(K13&gt;=90,"A+",IF(K13&gt;=80,"A",IF(K13&gt;=70,"B",IF(K13&gt;=60,"C","------"))))</f>
        <v>------</v>
      </c>
      <c r="M13" s="3" t="str">
        <f t="shared" si="4"/>
        <v>------</v>
      </c>
      <c r="N13" s="5"/>
      <c r="O13" s="5"/>
      <c r="P13" s="5"/>
      <c r="Q13" s="5"/>
      <c r="R13" s="5"/>
      <c r="S13" s="5"/>
    </row>
    <row r="14" spans="1:21" x14ac:dyDescent="0.25">
      <c r="A14" s="16" t="s">
        <v>3</v>
      </c>
      <c r="B14" s="2" t="s">
        <v>14</v>
      </c>
      <c r="C14" s="1">
        <v>46</v>
      </c>
      <c r="D14" s="1">
        <v>31</v>
      </c>
      <c r="E14" s="1">
        <v>62</v>
      </c>
      <c r="F14" s="1">
        <v>64</v>
      </c>
      <c r="G14" s="1">
        <v>56</v>
      </c>
      <c r="H14" s="16">
        <v>500</v>
      </c>
      <c r="I14" s="16">
        <f t="shared" si="0"/>
        <v>259</v>
      </c>
      <c r="J14" s="1" t="str">
        <f>IF(C14&lt;35,"fail",IF(D14&lt;35,"fail",IF(E14&lt;35,"fail",IF(F14&lt;35,"Fail",IF(G14&lt;35,"fail","Pass")))))</f>
        <v>fail</v>
      </c>
      <c r="K14" s="15">
        <f t="shared" si="1"/>
        <v>51.800000000000004</v>
      </c>
      <c r="L14" s="1" t="str">
        <f>IF(K14&gt;=90,"A+",IF(K14&gt;=80,"A",IF(K14&gt;=70,"B",IF(K14&gt;=60,"C","------"))))</f>
        <v>------</v>
      </c>
      <c r="M14" s="3" t="str">
        <f t="shared" si="4"/>
        <v>------</v>
      </c>
      <c r="N14" s="5"/>
      <c r="O14" s="5"/>
      <c r="P14" s="5"/>
      <c r="Q14" s="5"/>
      <c r="R14" s="5"/>
      <c r="S14" s="5"/>
    </row>
    <row r="15" spans="1:21" x14ac:dyDescent="0.25">
      <c r="A15" s="16" t="s">
        <v>2</v>
      </c>
      <c r="B15" s="2" t="s">
        <v>13</v>
      </c>
      <c r="C15" s="1">
        <v>13</v>
      </c>
      <c r="D15" s="1">
        <v>0</v>
      </c>
      <c r="E15" s="1">
        <v>91</v>
      </c>
      <c r="F15" s="1">
        <v>52</v>
      </c>
      <c r="G15" s="1">
        <v>7</v>
      </c>
      <c r="H15" s="16">
        <v>500</v>
      </c>
      <c r="I15" s="16">
        <f t="shared" si="0"/>
        <v>163</v>
      </c>
      <c r="J15" s="1" t="str">
        <f>IF(C15&lt;35,"fail",IF(D15&lt;35,"fail",IF(E15&lt;35,"fail",IF(F15&lt;35,"Fail",IF(G15&lt;35,"fail","Pass")))))</f>
        <v>fail</v>
      </c>
      <c r="K15" s="15">
        <f t="shared" si="1"/>
        <v>32.6</v>
      </c>
      <c r="L15" s="1" t="str">
        <f>IF(K15&gt;=90,"A+",IF(K15&gt;=80,"A",IF(K15&gt;=70,"B",IF(K15&gt;=60,"C","------"))))</f>
        <v>------</v>
      </c>
      <c r="M15" s="3" t="str">
        <f t="shared" si="4"/>
        <v>------</v>
      </c>
      <c r="N15" s="5"/>
      <c r="O15" s="5"/>
      <c r="P15" s="5"/>
      <c r="Q15" s="5"/>
      <c r="R15" s="5"/>
      <c r="S15" s="5"/>
    </row>
    <row r="19" spans="3:7" x14ac:dyDescent="0.25">
      <c r="D19" s="6"/>
      <c r="E19" s="5"/>
      <c r="F19" s="5"/>
      <c r="G19" s="9"/>
    </row>
    <row r="20" spans="3:7" x14ac:dyDescent="0.25">
      <c r="D20" s="8" t="s">
        <v>33</v>
      </c>
      <c r="E20" s="10"/>
      <c r="F20" s="11" t="s">
        <v>14</v>
      </c>
    </row>
    <row r="21" spans="3:7" x14ac:dyDescent="0.25">
      <c r="C21" s="7"/>
      <c r="D21" s="8"/>
      <c r="E21" s="10"/>
      <c r="F21" s="11"/>
    </row>
    <row r="22" spans="3:7" x14ac:dyDescent="0.25">
      <c r="D22" s="1" t="s">
        <v>34</v>
      </c>
      <c r="E22" s="12"/>
      <c r="F22" s="1">
        <f>VLOOKUP(F20,B6:M15,8,FALSE)</f>
        <v>259</v>
      </c>
    </row>
    <row r="23" spans="3:7" x14ac:dyDescent="0.25">
      <c r="D23" s="1" t="s">
        <v>29</v>
      </c>
      <c r="E23" s="12"/>
      <c r="F23" s="1">
        <f>VLOOKUP(F20,B6:M15,10,FALSE)</f>
        <v>51.800000000000004</v>
      </c>
    </row>
    <row r="24" spans="3:7" x14ac:dyDescent="0.25">
      <c r="D24" s="1" t="s">
        <v>35</v>
      </c>
      <c r="E24" s="12"/>
      <c r="F24" s="1" t="str">
        <f>VLOOKUP(F20,B5:M15,11,FALSE)</f>
        <v>------</v>
      </c>
    </row>
    <row r="25" spans="3:7" x14ac:dyDescent="0.25">
      <c r="D25" s="1" t="s">
        <v>36</v>
      </c>
      <c r="E25" s="12"/>
      <c r="F25" s="1" t="str">
        <f>VLOOKUP(F20,B5:M15,12,FALSE)</f>
        <v>------</v>
      </c>
    </row>
    <row r="26" spans="3:7" x14ac:dyDescent="0.25">
      <c r="D26" s="1" t="s">
        <v>37</v>
      </c>
      <c r="E26" s="12"/>
      <c r="F26" s="1" t="str">
        <f>VLOOKUP(F20,B6:M15,9,FALSE)</f>
        <v>fail</v>
      </c>
    </row>
    <row r="27" spans="3:7" x14ac:dyDescent="0.25">
      <c r="D27" s="6"/>
      <c r="E27" s="5"/>
      <c r="F27" s="5"/>
    </row>
  </sheetData>
  <autoFilter ref="I6:I15" xr:uid="{41CF830A-7495-4776-B0F9-4771960B96D1}"/>
  <sortState xmlns:xlrd2="http://schemas.microsoft.com/office/spreadsheetml/2017/richdata2" ref="A6:M15">
    <sortCondition descending="1" ref="I6:I15"/>
  </sortState>
  <mergeCells count="3">
    <mergeCell ref="D20:D21"/>
    <mergeCell ref="F20:F21"/>
    <mergeCell ref="E20:E21"/>
  </mergeCells>
  <phoneticPr fontId="1" type="noConversion"/>
  <conditionalFormatting sqref="I6:M15">
    <cfRule type="containsText" dxfId="16" priority="9" operator="containsText" text="A+">
      <formula>NOT(ISERROR(SEARCH("A+",I6)))</formula>
    </cfRule>
  </conditionalFormatting>
  <conditionalFormatting sqref="L7:L11">
    <cfRule type="containsText" dxfId="15" priority="8" operator="containsText" text="a">
      <formula>NOT(ISERROR(SEARCH("a",L7)))</formula>
    </cfRule>
    <cfRule type="containsText" dxfId="14" priority="7" operator="containsText" text="b">
      <formula>NOT(ISERROR(SEARCH("b",L7)))</formula>
    </cfRule>
    <cfRule type="containsText" dxfId="13" priority="6" operator="containsText" text="c">
      <formula>NOT(ISERROR(SEARCH("c",L7)))</formula>
    </cfRule>
  </conditionalFormatting>
  <conditionalFormatting sqref="J6:J15">
    <cfRule type="containsText" dxfId="12" priority="5" operator="containsText" text="pass">
      <formula>NOT(ISERROR(SEARCH("pass",J6)))</formula>
    </cfRule>
    <cfRule type="containsText" dxfId="11" priority="4" operator="containsText" text="fail">
      <formula>NOT(ISERROR(SEARCH("fail",J6)))</formula>
    </cfRule>
  </conditionalFormatting>
  <conditionalFormatting sqref="M6:M15">
    <cfRule type="containsText" dxfId="10" priority="3" operator="containsText" text="first">
      <formula>NOT(ISERROR(SEARCH("first",M6)))</formula>
    </cfRule>
  </conditionalFormatting>
  <conditionalFormatting sqref="M6:M8">
    <cfRule type="containsText" dxfId="0" priority="2" operator="containsText" text="second">
      <formula>NOT(ISERROR(SEARCH("second",M6)))</formula>
    </cfRule>
    <cfRule type="containsText" dxfId="1" priority="1" operator="containsText" text="third">
      <formula>NOT(ISERROR(SEARCH("third",M6)))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umarghjkh gjgdsssas</dc:creator>
  <cp:lastModifiedBy>umarghjkh gjgdsssas</cp:lastModifiedBy>
  <dcterms:created xsi:type="dcterms:W3CDTF">2025-10-08T16:24:17Z</dcterms:created>
  <dcterms:modified xsi:type="dcterms:W3CDTF">2025-10-09T07:22:10Z</dcterms:modified>
</cp:coreProperties>
</file>