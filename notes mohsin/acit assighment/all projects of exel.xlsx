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bdullah\"/>
    </mc:Choice>
  </mc:AlternateContent>
  <xr:revisionPtr revIDLastSave="0" documentId="8_{39BDFB52-2545-4BCC-A264-42B1A3DBEB5E}" xr6:coauthVersionLast="47" xr6:coauthVersionMax="47" xr10:uidLastSave="{00000000-0000-0000-0000-000000000000}"/>
  <bookViews>
    <workbookView xWindow="-120" yWindow="-120" windowWidth="20730" windowHeight="11040" xr2:uid="{A69A8EF1-4DAF-4977-A247-1881B3969F8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" i="1" l="1"/>
  <c r="C68" i="1"/>
  <c r="B69" i="1"/>
  <c r="E46" i="1"/>
  <c r="D46" i="1"/>
  <c r="C46" i="1"/>
  <c r="E45" i="1"/>
  <c r="D45" i="1"/>
  <c r="C45" i="1"/>
  <c r="F45" i="1" s="1"/>
  <c r="E44" i="1"/>
  <c r="D44" i="1"/>
  <c r="C44" i="1"/>
  <c r="E43" i="1"/>
  <c r="D43" i="1"/>
  <c r="C43" i="1"/>
  <c r="E42" i="1"/>
  <c r="D42" i="1"/>
  <c r="C42" i="1"/>
  <c r="E41" i="1"/>
  <c r="D41" i="1"/>
  <c r="C41" i="1"/>
  <c r="F41" i="1" s="1"/>
  <c r="E40" i="1"/>
  <c r="D40" i="1"/>
  <c r="C40" i="1"/>
  <c r="F40" i="1" s="1"/>
  <c r="E39" i="1"/>
  <c r="D39" i="1"/>
  <c r="C39" i="1"/>
  <c r="E38" i="1"/>
  <c r="D38" i="1"/>
  <c r="C38" i="1"/>
  <c r="D26" i="1"/>
  <c r="E26" i="1"/>
  <c r="F26" i="1"/>
  <c r="D27" i="1"/>
  <c r="E27" i="1"/>
  <c r="F27" i="1"/>
  <c r="D28" i="1"/>
  <c r="G28" i="1" s="1"/>
  <c r="H28" i="1" s="1"/>
  <c r="E28" i="1"/>
  <c r="F28" i="1"/>
  <c r="D29" i="1"/>
  <c r="E29" i="1"/>
  <c r="F29" i="1"/>
  <c r="D30" i="1"/>
  <c r="E30" i="1"/>
  <c r="F30" i="1"/>
  <c r="D31" i="1"/>
  <c r="E31" i="1"/>
  <c r="F31" i="1"/>
  <c r="D32" i="1"/>
  <c r="G32" i="1" s="1"/>
  <c r="H32" i="1" s="1"/>
  <c r="E32" i="1"/>
  <c r="F32" i="1"/>
  <c r="E7" i="1"/>
  <c r="F7" i="1"/>
  <c r="H7" i="1"/>
  <c r="E8" i="1"/>
  <c r="F8" i="1" s="1"/>
  <c r="H8" i="1"/>
  <c r="E9" i="1"/>
  <c r="F9" i="1" s="1"/>
  <c r="H9" i="1"/>
  <c r="E10" i="1"/>
  <c r="F10" i="1" s="1"/>
  <c r="H10" i="1"/>
  <c r="E11" i="1"/>
  <c r="F11" i="1" s="1"/>
  <c r="H11" i="1"/>
  <c r="E12" i="1"/>
  <c r="F12" i="1" s="1"/>
  <c r="H12" i="1"/>
  <c r="E13" i="1"/>
  <c r="F13" i="1" s="1"/>
  <c r="H13" i="1"/>
  <c r="E14" i="1"/>
  <c r="F14" i="1" s="1"/>
  <c r="H14" i="1"/>
  <c r="E15" i="1"/>
  <c r="F15" i="1"/>
  <c r="H15" i="1"/>
  <c r="E16" i="1"/>
  <c r="F16" i="1" s="1"/>
  <c r="H16" i="1"/>
  <c r="E17" i="1"/>
  <c r="F17" i="1"/>
  <c r="H17" i="1"/>
  <c r="E18" i="1"/>
  <c r="F18" i="1" s="1"/>
  <c r="H18" i="1"/>
  <c r="E19" i="1"/>
  <c r="F19" i="1" s="1"/>
  <c r="H19" i="1"/>
  <c r="E20" i="1"/>
  <c r="F20" i="1"/>
  <c r="H20" i="1"/>
  <c r="E21" i="1"/>
  <c r="F21" i="1" s="1"/>
  <c r="H21" i="1"/>
  <c r="G26" i="1" l="1"/>
  <c r="H26" i="1" s="1"/>
  <c r="G27" i="1"/>
  <c r="H27" i="1" s="1"/>
  <c r="F39" i="1"/>
  <c r="G39" i="1" s="1"/>
  <c r="H39" i="1" s="1"/>
  <c r="F43" i="1"/>
  <c r="G43" i="1" s="1"/>
  <c r="H43" i="1" s="1"/>
  <c r="I20" i="1"/>
  <c r="I16" i="1"/>
  <c r="I12" i="1"/>
  <c r="I8" i="1"/>
  <c r="G29" i="1"/>
  <c r="F42" i="1"/>
  <c r="G42" i="1" s="1"/>
  <c r="H42" i="1" s="1"/>
  <c r="F46" i="1"/>
  <c r="G46" i="1" s="1"/>
  <c r="H46" i="1" s="1"/>
  <c r="G30" i="1"/>
  <c r="H30" i="1" s="1"/>
  <c r="I30" i="1" s="1"/>
  <c r="G31" i="1"/>
  <c r="H31" i="1" s="1"/>
  <c r="F38" i="1"/>
  <c r="G38" i="1" s="1"/>
  <c r="H38" i="1" s="1"/>
  <c r="F44" i="1"/>
  <c r="G44" i="1" s="1"/>
  <c r="H44" i="1" s="1"/>
  <c r="I14" i="1"/>
  <c r="I10" i="1"/>
  <c r="G41" i="1"/>
  <c r="H41" i="1" s="1"/>
  <c r="G45" i="1"/>
  <c r="H45" i="1" s="1"/>
  <c r="G40" i="1"/>
  <c r="H40" i="1" s="1"/>
  <c r="I21" i="1"/>
  <c r="I17" i="1"/>
  <c r="I13" i="1"/>
  <c r="I9" i="1"/>
  <c r="I18" i="1"/>
  <c r="I19" i="1"/>
  <c r="I15" i="1"/>
  <c r="I11" i="1"/>
  <c r="I7" i="1"/>
  <c r="H29" i="1"/>
  <c r="I29" i="1" s="1"/>
  <c r="I27" i="1"/>
  <c r="I32" i="1"/>
  <c r="I26" i="1"/>
  <c r="I28" i="1"/>
  <c r="I31" i="1" l="1"/>
</calcChain>
</file>

<file path=xl/sharedStrings.xml><?xml version="1.0" encoding="utf-8"?>
<sst xmlns="http://schemas.openxmlformats.org/spreadsheetml/2006/main" count="96" uniqueCount="65">
  <si>
    <t>computer</t>
  </si>
  <si>
    <t>ID No.</t>
  </si>
  <si>
    <t>Scale</t>
  </si>
  <si>
    <t>Name</t>
  </si>
  <si>
    <t>Work Days</t>
  </si>
  <si>
    <t>Work Hours</t>
  </si>
  <si>
    <t>Amount</t>
  </si>
  <si>
    <t>Over Time Hours</t>
  </si>
  <si>
    <t>Total Salary</t>
  </si>
  <si>
    <t>A</t>
  </si>
  <si>
    <t xml:space="preserve">AKMAL </t>
  </si>
  <si>
    <t>B</t>
  </si>
  <si>
    <t>AJMAL</t>
  </si>
  <si>
    <t>C</t>
  </si>
  <si>
    <t>TAREEN</t>
  </si>
  <si>
    <t>D</t>
  </si>
  <si>
    <t>JUNAID</t>
  </si>
  <si>
    <t>KAREEM</t>
  </si>
  <si>
    <t>JAMAL</t>
  </si>
  <si>
    <t>KHAN</t>
  </si>
  <si>
    <t>FARHAN</t>
  </si>
  <si>
    <t>NOOR</t>
  </si>
  <si>
    <t>WAQAR</t>
  </si>
  <si>
    <t>NAVEED</t>
  </si>
  <si>
    <t>RAHEEM</t>
  </si>
  <si>
    <t>RAHMAT</t>
  </si>
  <si>
    <t>SAIF</t>
  </si>
  <si>
    <t>Accountant</t>
  </si>
  <si>
    <t>kareem</t>
  </si>
  <si>
    <t>MD</t>
  </si>
  <si>
    <t>Salam</t>
  </si>
  <si>
    <t>Security Guard</t>
  </si>
  <si>
    <t>Noor</t>
  </si>
  <si>
    <t>Cashier</t>
  </si>
  <si>
    <t>Arshad</t>
  </si>
  <si>
    <t>Officeboy</t>
  </si>
  <si>
    <t>Jamal</t>
  </si>
  <si>
    <t>Ass. Manager</t>
  </si>
  <si>
    <t>Hamid</t>
  </si>
  <si>
    <t>Manager</t>
  </si>
  <si>
    <t>Mohsin</t>
  </si>
  <si>
    <t>Gross
Salary</t>
  </si>
  <si>
    <t>Income
Tax</t>
  </si>
  <si>
    <t>Total
Salary</t>
  </si>
  <si>
    <t>Convanyance</t>
  </si>
  <si>
    <t>Medical
Allowance</t>
  </si>
  <si>
    <t>Rent
Allowance</t>
  </si>
  <si>
    <t>Basic
Salary</t>
  </si>
  <si>
    <t>Rank</t>
  </si>
  <si>
    <t>Motn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</si>
  <si>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</si>
  <si>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</si>
  <si>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</si>
  <si>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</si>
  <si>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</si>
  <si>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</si>
  <si>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</si>
  <si>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</si>
  <si>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</si>
  <si>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COMUTER SHOOP</t>
  </si>
  <si>
    <t>Date</t>
  </si>
  <si>
    <t>Income</t>
  </si>
  <si>
    <t>Expense</t>
  </si>
  <si>
    <t>Total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</si>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</sst>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PKR]\ #,##0.00"/>
    <numFmt numFmtId="165" formatCode="[$-F800]dddd\,\ mmmm\ dd\,\ yyyy"/>
    <numFmt numFmtId="166" formatCode="_([$PKR]\ * #,##0.00_);_([$PKR]\ * \(#,##0.00\);_([$PKR]\ 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1" xfId="0" applyNumberFormat="1" applyFill="1" applyBorder="1" applyAlignment="1">
      <alignment vertical="center"/>
    </xf>
    <xf numFmtId="166" fontId="0" fillId="9" borderId="2" xfId="0" applyNumberForma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%20sadiq\Desktop\our%20orojects.xlsx" TargetMode="External"/><Relationship Id="rId1" Type="http://schemas.openxmlformats.org/officeDocument/2006/relationships/externalLinkPath" Target="file:///C:\Users\m%20sadiq\Desktop\our%20oroje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6">
          <cell r="G6">
            <v>40</v>
          </cell>
        </row>
        <row r="7">
          <cell r="G7">
            <v>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7C06-9E74-4549-9415-47E36FAC1E73}">
  <dimension ref="A5:I69"/>
  <sheetViews>
    <sheetView tabSelected="1" topLeftCell="A51" workbookViewId="0">
      <selection activeCell="F63" sqref="F63"/>
    </sheetView>
  </sheetViews>
  <sheetFormatPr defaultRowHeight="15" x14ac:dyDescent="0.25"/>
  <cols>
    <col min="1" max="1" width="23.85546875" bestFit="1" customWidth="1"/>
    <col min="2" max="2" width="14.5703125" bestFit="1" customWidth="1"/>
    <col min="3" max="3" width="14.140625" bestFit="1" customWidth="1"/>
    <col min="4" max="6" width="13.140625" bestFit="1" customWidth="1"/>
    <col min="7" max="7" width="15.85546875" bestFit="1" customWidth="1"/>
    <col min="8" max="8" width="13.140625" bestFit="1" customWidth="1"/>
    <col min="9" max="9" width="14.140625" bestFit="1" customWidth="1"/>
  </cols>
  <sheetData>
    <row r="5" spans="1:9" x14ac:dyDescent="0.25">
      <c r="A5" s="1" t="s">
        <v>0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6</v>
      </c>
      <c r="I6" s="3" t="s">
        <v>8</v>
      </c>
    </row>
    <row r="7" spans="1:9" x14ac:dyDescent="0.25">
      <c r="A7" s="4">
        <v>101</v>
      </c>
      <c r="B7" s="4" t="s">
        <v>9</v>
      </c>
      <c r="C7" s="4" t="s">
        <v>10</v>
      </c>
      <c r="D7" s="4">
        <v>27</v>
      </c>
      <c r="E7" s="4">
        <f>D7*9</f>
        <v>243</v>
      </c>
      <c r="F7" s="4">
        <f>IF(B7="A",E7*150,IF(B7="B",E7*100,IF(B7="C",E7*90,IF(B7="D",E7*80))))</f>
        <v>36450</v>
      </c>
      <c r="G7" s="4">
        <v>40</v>
      </c>
      <c r="H7" s="4">
        <f>IF(B7="a", [1]Sheet1!G6*145, IF(B7="b", [1]Sheet1!G6*130, [1]Sheet1!G6*120))</f>
        <v>5800</v>
      </c>
      <c r="I7" s="4">
        <f>F7+H7</f>
        <v>42250</v>
      </c>
    </row>
    <row r="8" spans="1:9" x14ac:dyDescent="0.25">
      <c r="A8" s="4">
        <v>102</v>
      </c>
      <c r="B8" s="4" t="s">
        <v>11</v>
      </c>
      <c r="C8" s="4" t="s">
        <v>12</v>
      </c>
      <c r="D8" s="4">
        <v>27</v>
      </c>
      <c r="E8" s="4">
        <f>D8*9</f>
        <v>243</v>
      </c>
      <c r="F8" s="4">
        <f>IF(B8="A",E8*150,IF(B8="B",E8*100,IF(B8="C",E8*90,IF(B8="D",E8*80))))</f>
        <v>24300</v>
      </c>
      <c r="G8" s="4">
        <v>40</v>
      </c>
      <c r="H8" s="4">
        <f>IF(B8="a", [1]Sheet1!G7*145, IF(B8="b", [1]Sheet1!G7*130, [1]Sheet1!G7*120))</f>
        <v>5200</v>
      </c>
      <c r="I8" s="4">
        <f>F8+H8</f>
        <v>29500</v>
      </c>
    </row>
    <row r="9" spans="1:9" x14ac:dyDescent="0.25">
      <c r="A9" s="4">
        <v>103</v>
      </c>
      <c r="B9" s="4" t="s">
        <v>13</v>
      </c>
      <c r="C9" s="4" t="s">
        <v>14</v>
      </c>
      <c r="D9" s="4">
        <v>27</v>
      </c>
      <c r="E9" s="4">
        <f>D9*9</f>
        <v>243</v>
      </c>
      <c r="F9" s="4">
        <f>IF(B9="A",E9*150,IF(B9="B",E9*100,IF(B9="C",E9*90,IF(B9="D",E9*80))))</f>
        <v>21870</v>
      </c>
      <c r="G9" s="4">
        <v>40</v>
      </c>
      <c r="H9" s="4">
        <f>IF(B9="a", [1]Sheet1!G8*145, IF(B9="b", [1]Sheet1!G8*130, [1]Sheet1!G8*120))</f>
        <v>0</v>
      </c>
      <c r="I9" s="4">
        <f>F9+H9</f>
        <v>21870</v>
      </c>
    </row>
    <row r="10" spans="1:9" x14ac:dyDescent="0.25">
      <c r="A10" s="4">
        <v>104</v>
      </c>
      <c r="B10" s="4" t="s">
        <v>15</v>
      </c>
      <c r="C10" s="4" t="s">
        <v>16</v>
      </c>
      <c r="D10" s="4">
        <v>27</v>
      </c>
      <c r="E10" s="4">
        <f>D10*9</f>
        <v>243</v>
      </c>
      <c r="F10" s="4">
        <f>IF(B10="A",E10*150,IF(B10="B",E10*100,IF(B10="C",E10*90,IF(B10="D",E10*80))))</f>
        <v>19440</v>
      </c>
      <c r="G10" s="4">
        <v>40</v>
      </c>
      <c r="H10" s="4">
        <f>IF(B10="a", [1]Sheet1!G9*145, IF(B10="b", [1]Sheet1!G9*130, [1]Sheet1!G9*120))</f>
        <v>0</v>
      </c>
      <c r="I10" s="4">
        <f>F10+H10</f>
        <v>19440</v>
      </c>
    </row>
    <row r="11" spans="1:9" x14ac:dyDescent="0.25">
      <c r="A11" s="4">
        <v>105</v>
      </c>
      <c r="B11" s="4" t="s">
        <v>9</v>
      </c>
      <c r="C11" s="4" t="s">
        <v>17</v>
      </c>
      <c r="D11" s="4">
        <v>27</v>
      </c>
      <c r="E11" s="4">
        <f>D11*9</f>
        <v>243</v>
      </c>
      <c r="F11" s="4">
        <f>IF(B11="A",E11*150,IF(B11="B",E11*100,IF(B11="C",E11*90,IF(B11="D",E11*80))))</f>
        <v>36450</v>
      </c>
      <c r="G11" s="4">
        <v>40</v>
      </c>
      <c r="H11" s="4">
        <f>IF(B11="a", [1]Sheet1!G10*145, IF(B11="b", [1]Sheet1!G10*130, [1]Sheet1!G10*120))</f>
        <v>0</v>
      </c>
      <c r="I11" s="4">
        <f>F11+H11</f>
        <v>36450</v>
      </c>
    </row>
    <row r="12" spans="1:9" x14ac:dyDescent="0.25">
      <c r="A12" s="4">
        <v>106</v>
      </c>
      <c r="B12" s="4" t="s">
        <v>11</v>
      </c>
      <c r="C12" s="4" t="s">
        <v>18</v>
      </c>
      <c r="D12" s="4">
        <v>27</v>
      </c>
      <c r="E12" s="4">
        <f>D12*9</f>
        <v>243</v>
      </c>
      <c r="F12" s="4">
        <f>IF(B12="A",E12*150,IF(B12="B",E12*100,IF(B12="C",E12*90,IF(B12="D",E12*80))))</f>
        <v>24300</v>
      </c>
      <c r="G12" s="4">
        <v>40</v>
      </c>
      <c r="H12" s="4">
        <f>IF(B12="a", [1]Sheet1!G11*145, IF(B12="b", [1]Sheet1!G11*130, [1]Sheet1!G11*120))</f>
        <v>0</v>
      </c>
      <c r="I12" s="4">
        <f>F12+H12</f>
        <v>24300</v>
      </c>
    </row>
    <row r="13" spans="1:9" x14ac:dyDescent="0.25">
      <c r="A13" s="4">
        <v>107</v>
      </c>
      <c r="B13" s="4" t="s">
        <v>13</v>
      </c>
      <c r="C13" s="4" t="s">
        <v>19</v>
      </c>
      <c r="D13" s="4">
        <v>27</v>
      </c>
      <c r="E13" s="4">
        <f>D13*9</f>
        <v>243</v>
      </c>
      <c r="F13" s="4">
        <f>IF(B13="A",E13*150,IF(B13="B",E13*100,IF(B13="C",E13*90,IF(B13="D",E13*80))))</f>
        <v>21870</v>
      </c>
      <c r="G13" s="4">
        <v>40</v>
      </c>
      <c r="H13" s="4">
        <f>IF(B13="a", [1]Sheet1!G12*145, IF(B13="b", [1]Sheet1!G12*130, [1]Sheet1!G12*120))</f>
        <v>0</v>
      </c>
      <c r="I13" s="4">
        <f>F13+H13</f>
        <v>21870</v>
      </c>
    </row>
    <row r="14" spans="1:9" x14ac:dyDescent="0.25">
      <c r="A14" s="4">
        <v>108</v>
      </c>
      <c r="B14" s="4" t="s">
        <v>15</v>
      </c>
      <c r="C14" s="4" t="s">
        <v>20</v>
      </c>
      <c r="D14" s="4">
        <v>27</v>
      </c>
      <c r="E14" s="4">
        <f>D14*9</f>
        <v>243</v>
      </c>
      <c r="F14" s="4">
        <f>IF(B14="A",E14*150,IF(B14="B",E14*100,IF(B14="C",E14*90,IF(B14="D",E14*80))))</f>
        <v>19440</v>
      </c>
      <c r="G14" s="4">
        <v>40</v>
      </c>
      <c r="H14" s="4">
        <f>IF(B14="a", [1]Sheet1!G13*145, IF(B14="b", [1]Sheet1!G13*130, [1]Sheet1!G13*120))</f>
        <v>0</v>
      </c>
      <c r="I14" s="4">
        <f>F14+H14</f>
        <v>19440</v>
      </c>
    </row>
    <row r="15" spans="1:9" x14ac:dyDescent="0.25">
      <c r="A15" s="4">
        <v>109</v>
      </c>
      <c r="B15" s="4" t="s">
        <v>9</v>
      </c>
      <c r="C15" s="4" t="s">
        <v>21</v>
      </c>
      <c r="D15" s="4">
        <v>27</v>
      </c>
      <c r="E15" s="4">
        <f>D15*9</f>
        <v>243</v>
      </c>
      <c r="F15" s="4">
        <f>IF(B15="A",E15*150,IF(B15="B",E15*100,IF(B15="C",E15*90,IF(B15="D",E15*80))))</f>
        <v>36450</v>
      </c>
      <c r="G15" s="4">
        <v>40</v>
      </c>
      <c r="H15" s="4">
        <f>IF(B15="a", [1]Sheet1!G14*145, IF(B15="b", [1]Sheet1!G14*130, [1]Sheet1!G14*120))</f>
        <v>0</v>
      </c>
      <c r="I15" s="4">
        <f>F15+H15</f>
        <v>36450</v>
      </c>
    </row>
    <row r="16" spans="1:9" x14ac:dyDescent="0.25">
      <c r="A16" s="4">
        <v>110</v>
      </c>
      <c r="B16" s="4" t="s">
        <v>11</v>
      </c>
      <c r="C16" s="4" t="s">
        <v>22</v>
      </c>
      <c r="D16" s="4">
        <v>27</v>
      </c>
      <c r="E16" s="4">
        <f>D16*9</f>
        <v>243</v>
      </c>
      <c r="F16" s="4">
        <f>IF(B16="A",E16*150,IF(B16="B",E16*100,IF(B16="C",E16*90,IF(B16="D",E16*80))))</f>
        <v>24300</v>
      </c>
      <c r="G16" s="4">
        <v>40</v>
      </c>
      <c r="H16" s="4">
        <f>IF(B16="a", [1]Sheet1!G15*145, IF(B16="b", [1]Sheet1!G15*130, [1]Sheet1!G15*120))</f>
        <v>0</v>
      </c>
      <c r="I16" s="4">
        <f>F16+H16</f>
        <v>24300</v>
      </c>
    </row>
    <row r="17" spans="1:9" x14ac:dyDescent="0.25">
      <c r="A17" s="4">
        <v>111</v>
      </c>
      <c r="B17" s="4" t="s">
        <v>13</v>
      </c>
      <c r="C17" s="4" t="s">
        <v>23</v>
      </c>
      <c r="D17" s="4">
        <v>27</v>
      </c>
      <c r="E17" s="4">
        <f>D17*9</f>
        <v>243</v>
      </c>
      <c r="F17" s="4">
        <f>IF(B17="A",E17*150,IF(B17="B",E17*100,IF(B17="C",E17*90,IF(B17="D",E17*80))))</f>
        <v>21870</v>
      </c>
      <c r="G17" s="4">
        <v>40</v>
      </c>
      <c r="H17" s="4">
        <f>IF(B17="a", [1]Sheet1!G16*145, IF(B17="b", [1]Sheet1!G16*130, [1]Sheet1!G16*120))</f>
        <v>0</v>
      </c>
      <c r="I17" s="4">
        <f>F17+H17</f>
        <v>21870</v>
      </c>
    </row>
    <row r="18" spans="1:9" x14ac:dyDescent="0.25">
      <c r="A18" s="4">
        <v>112</v>
      </c>
      <c r="B18" s="4" t="s">
        <v>15</v>
      </c>
      <c r="C18" s="4" t="s">
        <v>24</v>
      </c>
      <c r="D18" s="4">
        <v>27</v>
      </c>
      <c r="E18" s="4">
        <f>D18*9</f>
        <v>243</v>
      </c>
      <c r="F18" s="4">
        <f>IF(B18="A",E18*150,IF(B18="B",E18*100,IF(B18="C",E18*90,IF(B18="D",E18*80))))</f>
        <v>19440</v>
      </c>
      <c r="G18" s="4">
        <v>40</v>
      </c>
      <c r="H18" s="4">
        <f>IF(B18="a", [1]Sheet1!G17*145, IF(B18="b", [1]Sheet1!G17*130, [1]Sheet1!G17*120))</f>
        <v>0</v>
      </c>
      <c r="I18" s="4">
        <f>F18+H18</f>
        <v>19440</v>
      </c>
    </row>
    <row r="19" spans="1:9" x14ac:dyDescent="0.25">
      <c r="A19" s="4">
        <v>113</v>
      </c>
      <c r="B19" s="4" t="s">
        <v>9</v>
      </c>
      <c r="C19" s="4" t="s">
        <v>25</v>
      </c>
      <c r="D19" s="4">
        <v>27</v>
      </c>
      <c r="E19" s="4">
        <f>D19*9</f>
        <v>243</v>
      </c>
      <c r="F19" s="4">
        <f>IF(B19="A",E19*150,IF(B19="B",E19*100,IF(B19="C",E19*90,IF(B19="D",E19*80))))</f>
        <v>36450</v>
      </c>
      <c r="G19" s="4">
        <v>40</v>
      </c>
      <c r="H19" s="4">
        <f>IF(B19="a", [1]Sheet1!G18*145, IF(B19="b", [1]Sheet1!G18*130, [1]Sheet1!G18*120))</f>
        <v>0</v>
      </c>
      <c r="I19" s="4">
        <f>F19+H19</f>
        <v>36450</v>
      </c>
    </row>
    <row r="20" spans="1:9" x14ac:dyDescent="0.25">
      <c r="A20" s="4">
        <v>114</v>
      </c>
      <c r="B20" s="4" t="s">
        <v>11</v>
      </c>
      <c r="C20" s="4" t="s">
        <v>22</v>
      </c>
      <c r="D20" s="4">
        <v>27</v>
      </c>
      <c r="E20" s="4">
        <f>D20*9</f>
        <v>243</v>
      </c>
      <c r="F20" s="4">
        <f>IF(B20="A",E20*150,IF(B20="B",E20*100,IF(B20="C",E20*90,IF(B20="D",E20*80))))</f>
        <v>24300</v>
      </c>
      <c r="G20" s="4">
        <v>40</v>
      </c>
      <c r="H20" s="4">
        <f>IF(B20="a", [1]Sheet1!G19*145, IF(B20="b", [1]Sheet1!G19*130, [1]Sheet1!G19*120))</f>
        <v>0</v>
      </c>
      <c r="I20" s="4">
        <f>F20+H20</f>
        <v>24300</v>
      </c>
    </row>
    <row r="21" spans="1:9" x14ac:dyDescent="0.25">
      <c r="A21" s="4">
        <v>115</v>
      </c>
      <c r="B21" s="4" t="s">
        <v>13</v>
      </c>
      <c r="C21" s="4" t="s">
        <v>26</v>
      </c>
      <c r="D21" s="4">
        <v>27</v>
      </c>
      <c r="E21" s="4">
        <f>D21*9</f>
        <v>243</v>
      </c>
      <c r="F21" s="4">
        <f>IF(B21="A",E21*150,IF(B21="B",E21*100,IF(B21="C",E21*90,IF(B21="D",E21*80))))</f>
        <v>21870</v>
      </c>
      <c r="G21" s="4">
        <v>40</v>
      </c>
      <c r="H21" s="4">
        <f>IF(B21="a", [1]Sheet1!G20*145, IF(B21="b", [1]Sheet1!G20*130, [1]Sheet1!G20*120))</f>
        <v>0</v>
      </c>
      <c r="I21" s="4">
        <f>F21+H21</f>
        <v>21870</v>
      </c>
    </row>
    <row r="25" spans="1:9" ht="45" x14ac:dyDescent="0.25">
      <c r="A25" s="9" t="s">
        <v>3</v>
      </c>
      <c r="B25" s="9" t="s">
        <v>48</v>
      </c>
      <c r="C25" s="8" t="s">
        <v>47</v>
      </c>
      <c r="D25" s="8" t="s">
        <v>46</v>
      </c>
      <c r="E25" s="8" t="s">
        <v>45</v>
      </c>
      <c r="F25" s="8" t="s">
        <v>44</v>
      </c>
      <c r="G25" s="8" t="s">
        <v>43</v>
      </c>
      <c r="H25" s="8" t="s">
        <v>42</v>
      </c>
      <c r="I25" s="8" t="s">
        <v>41</v>
      </c>
    </row>
    <row r="26" spans="1:9" x14ac:dyDescent="0.25">
      <c r="A26" s="7" t="s">
        <v>40</v>
      </c>
      <c r="B26" s="4" t="s">
        <v>39</v>
      </c>
      <c r="C26" s="6">
        <v>75000</v>
      </c>
      <c r="D26" s="6">
        <f>IF(B26="Manager",C26*25%,IF(B26="Ass. Manager",C26*21%,IF(B26="Officeboy",C26*12%,IF(B26="MD",C26*30%,C26*15%))))</f>
        <v>18750</v>
      </c>
      <c r="E26" s="6">
        <f>IF(B26="Manager",C26*20%,IF(B26="Ass. Manager",C26*18%,IF(B26="Officeboy",C26*7%,IF(B26="MD",C26*25%,C26*11%))))</f>
        <v>15000</v>
      </c>
      <c r="F26" s="6">
        <f>IF(B26="Manager",C26*26%,IF(B26="Ass. Manager",C26*22%,IF(B26="Officeboy",C26*12%,IF(B26="MD",C26*33%,C26*13%))))</f>
        <v>19500</v>
      </c>
      <c r="G26" s="5">
        <f>SUM(C26:F26)</f>
        <v>128250</v>
      </c>
      <c r="H26" s="5">
        <f>IF(G26&gt;=100000, G26*10%, 0)</f>
        <v>12825</v>
      </c>
      <c r="I26" s="5">
        <f>G26-H26</f>
        <v>115425</v>
      </c>
    </row>
    <row r="27" spans="1:9" x14ac:dyDescent="0.25">
      <c r="A27" s="7" t="s">
        <v>38</v>
      </c>
      <c r="B27" s="4" t="s">
        <v>37</v>
      </c>
      <c r="C27" s="6">
        <v>60000</v>
      </c>
      <c r="D27" s="6">
        <f>IF(B27="Manager",C27*25%,IF(B27="Ass. Manager",C27*21%,IF(B27="Officeboy",C27*12%,IF(B27="MD",C27*30%,C27*15%))))</f>
        <v>12600</v>
      </c>
      <c r="E27" s="6">
        <f>IF(B27="Manager",C27*20%,IF(B27="Ass. Manager",C27*18%,IF(B27="Officeboy",C27*7%,IF(B27="MD",C27*25%,C27*11%))))</f>
        <v>10800</v>
      </c>
      <c r="F27" s="6">
        <f>IF(B27="Manager",C27*26%,IF(B27="Ass. Manager",C27*22%,IF(B27="Officeboy",C27*12%,IF(B27="MD",C27*33%,C27*13%))))</f>
        <v>13200</v>
      </c>
      <c r="G27" s="5">
        <f>SUM(C27:F27)</f>
        <v>96600</v>
      </c>
      <c r="H27" s="5">
        <f>IF(G27&gt;=100000, G27*10%, 0)</f>
        <v>0</v>
      </c>
      <c r="I27" s="5">
        <f>G27-H27</f>
        <v>96600</v>
      </c>
    </row>
    <row r="28" spans="1:9" x14ac:dyDescent="0.25">
      <c r="A28" s="7" t="s">
        <v>36</v>
      </c>
      <c r="B28" s="4" t="s">
        <v>35</v>
      </c>
      <c r="C28" s="6">
        <v>11000</v>
      </c>
      <c r="D28" s="6">
        <f>IF(B28="Manager",C28*25%,IF(B28="Ass. Manager",C28*21%,IF(B28="Officeboy",C28*12%,IF(B28="MD",C28*30%,C28*15%))))</f>
        <v>1320</v>
      </c>
      <c r="E28" s="6">
        <f>IF(B28="Manager",C28*20%,IF(B28="Ass. Manager",C28*18%,IF(B28="Officeboy",C28*7%,IF(B28="MD",C28*25%,C28*11%))))</f>
        <v>770.00000000000011</v>
      </c>
      <c r="F28" s="6">
        <f>IF(B28="Manager",C28*26%,IF(B28="Ass. Manager",C28*22%,IF(B28="Officeboy",C28*12%,IF(B28="MD",C28*33%,C28*13%))))</f>
        <v>1320</v>
      </c>
      <c r="G28" s="5">
        <f>SUM(C28:F28)</f>
        <v>14410</v>
      </c>
      <c r="H28" s="5">
        <f>IF(G28&gt;=100000, G28*10%, 0)</f>
        <v>0</v>
      </c>
      <c r="I28" s="5">
        <f>G28-H28</f>
        <v>14410</v>
      </c>
    </row>
    <row r="29" spans="1:9" x14ac:dyDescent="0.25">
      <c r="A29" s="7" t="s">
        <v>34</v>
      </c>
      <c r="B29" s="4" t="s">
        <v>33</v>
      </c>
      <c r="C29" s="6">
        <v>18000</v>
      </c>
      <c r="D29" s="6">
        <f>IF(B29="Manager",C29*25%,IF(B29="Ass. Manager",C29*21%,IF(B29="Officeboy",C29*12%,IF(B29="MD",C29*30%,C29*15%))))</f>
        <v>2700</v>
      </c>
      <c r="E29" s="6">
        <f>IF(B29="Manager",C29*20%,IF(B29="Ass. Manager",C29*18%,IF(B29="Officeboy",C29*7%,IF(B29="MD",C29*25%,C29*11%))))</f>
        <v>1980</v>
      </c>
      <c r="F29" s="6">
        <f>IF(B29="Manager",C29*26%,IF(B29="Ass. Manager",C29*22%,IF(B29="Officeboy",C29*12%,IF(B29="MD",C29*33%,C29*13%))))</f>
        <v>2340</v>
      </c>
      <c r="G29" s="5">
        <f>SUM(C29:F29)</f>
        <v>25020</v>
      </c>
      <c r="H29" s="5">
        <f>IF(G29&gt;=100000, G29*10%, 0)</f>
        <v>0</v>
      </c>
      <c r="I29" s="5">
        <f>G29-H29</f>
        <v>25020</v>
      </c>
    </row>
    <row r="30" spans="1:9" x14ac:dyDescent="0.25">
      <c r="A30" s="7" t="s">
        <v>32</v>
      </c>
      <c r="B30" s="4" t="s">
        <v>31</v>
      </c>
      <c r="C30" s="6">
        <v>12000</v>
      </c>
      <c r="D30" s="6">
        <f>IF(B30="Manager",C30*25%,IF(B30="Ass. Manager",C30*21%,IF(B30="Officeboy",C30*12%,IF(B30="MD",C30*30%,C30*15%))))</f>
        <v>1800</v>
      </c>
      <c r="E30" s="6">
        <f>IF(B30="Manager",C30*20%,IF(B30="Ass. Manager",C30*18%,IF(B30="Officeboy",C30*7%,IF(B30="MD",C30*25%,C30*11%))))</f>
        <v>1320</v>
      </c>
      <c r="F30" s="6">
        <f>IF(B30="Manager",C30*26%,IF(B30="Ass. Manager",C30*22%,IF(B30="Officeboy",C30*12%,IF(B30="MD",C30*33%,C30*13%))))</f>
        <v>1560</v>
      </c>
      <c r="G30" s="5">
        <f>SUM(C30:F30)</f>
        <v>16680</v>
      </c>
      <c r="H30" s="5">
        <f>IF(G30&gt;=100000, G30*10%, 0)</f>
        <v>0</v>
      </c>
      <c r="I30" s="5">
        <f>G30-H30</f>
        <v>16680</v>
      </c>
    </row>
    <row r="31" spans="1:9" x14ac:dyDescent="0.25">
      <c r="A31" s="7" t="s">
        <v>30</v>
      </c>
      <c r="B31" s="4" t="s">
        <v>29</v>
      </c>
      <c r="C31" s="6">
        <v>120000</v>
      </c>
      <c r="D31" s="6">
        <f>IF(B31="Manager",C31*25%,IF(B31="Ass. Manager",C31*21%,IF(B31="Officeboy",C31*12%,IF(B31="MD",C31*30%,C31*15%))))</f>
        <v>36000</v>
      </c>
      <c r="E31" s="6">
        <f>IF(B31="Manager",C31*20%,IF(B31="Ass. Manager",C31*18%,IF(B31="Officeboy",C31*7%,IF(B31="MD",C31*25%,C31*11%))))</f>
        <v>30000</v>
      </c>
      <c r="F31" s="6">
        <f>IF(B31="Manager",C31*26%,IF(B31="Ass. Manager",C31*22%,IF(B31="Officeboy",C31*12%,IF(B31="MD",C31*33%,C31*13%))))</f>
        <v>39600</v>
      </c>
      <c r="G31" s="5">
        <f>SUM(C31:F31)</f>
        <v>225600</v>
      </c>
      <c r="H31" s="5">
        <f>IF(G31&gt;=100000, G31*10%, 0)</f>
        <v>22560</v>
      </c>
      <c r="I31" s="5">
        <f>G31-H31</f>
        <v>203040</v>
      </c>
    </row>
    <row r="32" spans="1:9" x14ac:dyDescent="0.25">
      <c r="A32" s="7" t="s">
        <v>28</v>
      </c>
      <c r="B32" s="4" t="s">
        <v>27</v>
      </c>
      <c r="C32" s="6">
        <v>30000</v>
      </c>
      <c r="D32" s="6">
        <f>IF(B32="Manager",C32*25%,IF(B32="Ass. Manager",C32*21%,IF(B32="Officeboy",C32*12%,IF(B32="MD",C32*30%,C32*15%))))</f>
        <v>4500</v>
      </c>
      <c r="E32" s="6">
        <f>IF(B32="Manager",C32*20%,IF(B32="Ass. Manager",C32*18%,IF(B32="Officeboy",C32*7%,IF(B32="MD",C32*25%,C32*11%))))</f>
        <v>3300</v>
      </c>
      <c r="F32" s="6">
        <f>IF(B32="Manager",C32*26%,IF(B32="Ass. Manager",C32*22%,IF(B32="Officeboy",C32*12%,IF(B32="MD",C32*33%,C32*13%))))</f>
        <v>3900</v>
      </c>
      <c r="G32" s="5">
        <f>SUM(C32:F32)</f>
        <v>41700</v>
      </c>
      <c r="H32" s="5">
        <f>IF(G32&gt;=100000, G32*10%, 0)</f>
        <v>0</v>
      </c>
      <c r="I32" s="5">
        <f>G32-H32</f>
        <v>41700</v>
      </c>
    </row>
    <row r="37" spans="1:9" ht="30" x14ac:dyDescent="0.25">
      <c r="A37" s="10" t="s">
        <v>2</v>
      </c>
      <c r="B37" s="11" t="s">
        <v>47</v>
      </c>
      <c r="C37" s="11" t="s">
        <v>46</v>
      </c>
      <c r="D37" s="11" t="s">
        <v>45</v>
      </c>
      <c r="E37" s="11" t="s">
        <v>44</v>
      </c>
      <c r="F37" s="11" t="s">
        <v>43</v>
      </c>
      <c r="G37" s="11" t="s">
        <v>42</v>
      </c>
      <c r="H37" s="11" t="s">
        <v>41</v>
      </c>
      <c r="I37" s="11" t="s">
        <v>49</v>
      </c>
    </row>
    <row r="38" spans="1:9" ht="15.75" x14ac:dyDescent="0.25">
      <c r="A38" s="4" t="s">
        <v>9</v>
      </c>
      <c r="B38" s="6">
        <v>18000</v>
      </c>
      <c r="C38" s="6">
        <f>IF(A38="A", B38*30%, IF(A38="B", B38*25%, IF(A38="C", B38*20%, B38*15%)))</f>
        <v>5400</v>
      </c>
      <c r="D38" s="12">
        <f>IF(A38="A", B38*40%, IF(A38="B", B38*35%, IF(A38="C", B38*30%, B38*20%)))</f>
        <v>7200</v>
      </c>
      <c r="E38" s="6">
        <f>IF(A38="A",B38*50%,IF(A38="B",B38*40%,IF(A38="C",B38*30%,B38*20%)))</f>
        <v>9000</v>
      </c>
      <c r="F38" s="13">
        <f>SUM(B38:E38)</f>
        <v>39600</v>
      </c>
      <c r="G38" s="13">
        <f>IF(F38&gt;=39600, F38*10%, 0)</f>
        <v>3960</v>
      </c>
      <c r="H38" s="13">
        <f>F38-G38</f>
        <v>35640</v>
      </c>
      <c r="I38" s="13" t="s">
        <v>50</v>
      </c>
    </row>
    <row r="39" spans="1:9" ht="15.75" x14ac:dyDescent="0.25">
      <c r="A39" s="4" t="s">
        <v>9</v>
      </c>
      <c r="B39" s="6">
        <v>18000</v>
      </c>
      <c r="C39" s="6">
        <f>IF(A39="A", B39*30%, IF(A39="B", B39*25%, IF(A39="C", B39*20%, B39*15%)))</f>
        <v>5400</v>
      </c>
      <c r="D39" s="12">
        <f>IF(A39="A", B39*40%, IF(A39="B", B39*35%, IF(A39="C", B39*30%, B39*20%)))</f>
        <v>7200</v>
      </c>
      <c r="E39" s="6">
        <f>IF(A39="A",B39*50%,IF(A39="B",B39*40%,IF(A39="C",B39*30%,B39*20%)))</f>
        <v>9000</v>
      </c>
      <c r="F39" s="13">
        <f>SUM(B39:E39)</f>
        <v>39600</v>
      </c>
      <c r="G39" s="13">
        <f>IF(F39&gt;=39600, F39*10%, 0)</f>
        <v>3960</v>
      </c>
      <c r="H39" s="13">
        <f>F39-G39</f>
        <v>35640</v>
      </c>
      <c r="I39" s="13" t="s">
        <v>51</v>
      </c>
    </row>
    <row r="40" spans="1:9" ht="15.75" x14ac:dyDescent="0.25">
      <c r="A40" s="4" t="s">
        <v>11</v>
      </c>
      <c r="B40" s="6">
        <v>18000</v>
      </c>
      <c r="C40" s="6">
        <f>IF(A40="A", B40*30%, IF(A40="B", B40*25%, IF(A40="C", B40*20%, B40*15%)))</f>
        <v>4500</v>
      </c>
      <c r="D40" s="12">
        <f>IF(A40="A", B40*40%, IF(A40="B", B40*35%, IF(A40="C", B40*30%, B40*20%)))</f>
        <v>6300</v>
      </c>
      <c r="E40" s="6">
        <f>IF(A40="A",B40*50%,IF(A40="B",B40*40%,IF(A40="C",B40*30%,B40*20%)))</f>
        <v>7200</v>
      </c>
      <c r="F40" s="13">
        <f>SUM(B40:E40)</f>
        <v>36000</v>
      </c>
      <c r="G40" s="13">
        <f>IF(F40&gt;=39600, F40*10%, 0)</f>
        <v>0</v>
      </c>
      <c r="H40" s="13">
        <f>F40-G40</f>
        <v>36000</v>
      </c>
      <c r="I40" s="13" t="s">
        <v>52</v>
      </c>
    </row>
    <row r="41" spans="1:9" ht="15.75" x14ac:dyDescent="0.25">
      <c r="A41" s="4" t="s">
        <v>13</v>
      </c>
      <c r="B41" s="6">
        <v>18000</v>
      </c>
      <c r="C41" s="6">
        <f>IF(A41="A", B41*30%, IF(A41="B", B41*25%, IF(A41="C", B41*20%, B41*15%)))</f>
        <v>3600</v>
      </c>
      <c r="D41" s="12">
        <f>IF(A41="A", B41*40%, IF(A41="B", B41*35%, IF(A41="C", B41*30%, B41*20%)))</f>
        <v>5400</v>
      </c>
      <c r="E41" s="6">
        <f>IF(A41="A",B41*50%,IF(A41="B",B41*40%,IF(A41="C",B41*30%,B41*20%)))</f>
        <v>5400</v>
      </c>
      <c r="F41" s="13">
        <f>SUM(B41:E41)</f>
        <v>32400</v>
      </c>
      <c r="G41" s="13">
        <f>IF(F41&gt;=39600, F41*10%, 0)</f>
        <v>0</v>
      </c>
      <c r="H41" s="13">
        <f>F41-G41</f>
        <v>32400</v>
      </c>
      <c r="I41" s="13" t="s">
        <v>53</v>
      </c>
    </row>
    <row r="42" spans="1:9" ht="15.75" x14ac:dyDescent="0.25">
      <c r="A42" s="4" t="s">
        <v>13</v>
      </c>
      <c r="B42" s="6">
        <v>18000</v>
      </c>
      <c r="C42" s="6">
        <f>IF(A42="A", B42*30%, IF(A42="B", B42*25%, IF(A42="C", B42*20%, B42*15%)))</f>
        <v>3600</v>
      </c>
      <c r="D42" s="12">
        <f>IF(A42="A", B42*40%, IF(A42="B", B42*35%, IF(A42="C", B42*30%, B42*20%)))</f>
        <v>5400</v>
      </c>
      <c r="E42" s="6">
        <f>IF(A42="A",B42*50%,IF(A42="B",B42*40%,IF(A42="C",B42*30%,B42*20%)))</f>
        <v>5400</v>
      </c>
      <c r="F42" s="13">
        <f>SUM(B42:E42)</f>
        <v>32400</v>
      </c>
      <c r="G42" s="13">
        <f>IF(F42&gt;=39600, F42*10%, 0)</f>
        <v>0</v>
      </c>
      <c r="H42" s="13">
        <f>F42-G42</f>
        <v>32400</v>
      </c>
      <c r="I42" s="13" t="s">
        <v>54</v>
      </c>
    </row>
    <row r="43" spans="1:9" ht="15.75" x14ac:dyDescent="0.25">
      <c r="A43" s="4" t="s">
        <v>13</v>
      </c>
      <c r="B43" s="6">
        <v>18000</v>
      </c>
      <c r="C43" s="6">
        <f>IF(A43="A", B43*30%, IF(A43="B", B43*25%, IF(A43="C", B43*20%, B43*15%)))</f>
        <v>3600</v>
      </c>
      <c r="D43" s="12">
        <f>IF(A43="A", B43*40%, IF(A43="B", B43*35%, IF(A43="C", B43*30%, B43*20%)))</f>
        <v>5400</v>
      </c>
      <c r="E43" s="6">
        <f>IF(A43="A",B43*50%,IF(A43="B",B43*40%,IF(A43="C",B43*30%,B43*20%)))</f>
        <v>5400</v>
      </c>
      <c r="F43" s="13">
        <f>SUM(B43:E43)</f>
        <v>32400</v>
      </c>
      <c r="G43" s="13">
        <f>IF(F43&gt;=39600, F43*10%, 0)</f>
        <v>0</v>
      </c>
      <c r="H43" s="13">
        <f>F43-G43</f>
        <v>32400</v>
      </c>
      <c r="I43" s="13" t="s">
        <v>55</v>
      </c>
    </row>
    <row r="44" spans="1:9" ht="15.75" x14ac:dyDescent="0.25">
      <c r="A44" s="4" t="s">
        <v>13</v>
      </c>
      <c r="B44" s="6">
        <v>18000</v>
      </c>
      <c r="C44" s="6">
        <f>IF(A44="A", B44*30%, IF(A44="B", B44*25%, IF(A44="C", B44*20%, B44*15%)))</f>
        <v>3600</v>
      </c>
      <c r="D44" s="12">
        <f>IF(A44="A", B44*40%, IF(A44="B", B44*35%, IF(A44="C", B44*30%, B44*20%)))</f>
        <v>5400</v>
      </c>
      <c r="E44" s="6">
        <f>IF(A44="A",B44*50%,IF(A44="B",B44*40%,IF(A44="C",B44*30%,B44*20%)))</f>
        <v>5400</v>
      </c>
      <c r="F44" s="13">
        <f>SUM(B44:E44)</f>
        <v>32400</v>
      </c>
      <c r="G44" s="13">
        <f>IF(F44&gt;=39600, F44*10%, 0)</f>
        <v>0</v>
      </c>
      <c r="H44" s="13">
        <f>F44-G44</f>
        <v>32400</v>
      </c>
      <c r="I44" s="13" t="s">
        <v>56</v>
      </c>
    </row>
    <row r="45" spans="1:9" ht="15.75" x14ac:dyDescent="0.25">
      <c r="A45" s="4" t="s">
        <v>13</v>
      </c>
      <c r="B45" s="6">
        <v>18000</v>
      </c>
      <c r="C45" s="6">
        <f>IF(A45="A", B45*30%, IF(A45="B", B45*25%, IF(A45="C", B45*20%, B45*15%)))</f>
        <v>3600</v>
      </c>
      <c r="D45" s="12">
        <f>IF(A45="A", B45*40%, IF(A45="B", B45*35%, IF(A45="C", B45*30%, B45*20%)))</f>
        <v>5400</v>
      </c>
      <c r="E45" s="6">
        <f>IF(A45="A",B45*50%,IF(A45="B",B45*40%,IF(A45="C",B45*30%,B45*20%)))</f>
        <v>5400</v>
      </c>
      <c r="F45" s="13">
        <f>SUM(B45:E45)</f>
        <v>32400</v>
      </c>
      <c r="G45" s="13">
        <f>IF(F45&gt;=39600, F45*10%, 0)</f>
        <v>0</v>
      </c>
      <c r="H45" s="13">
        <f>F45-G45</f>
        <v>32400</v>
      </c>
      <c r="I45" s="13" t="s">
        <v>57</v>
      </c>
    </row>
    <row r="46" spans="1:9" ht="15.75" x14ac:dyDescent="0.25">
      <c r="A46" s="4" t="s">
        <v>13</v>
      </c>
      <c r="B46" s="6">
        <v>18000</v>
      </c>
      <c r="C46" s="6">
        <f>IF(A46="A", B46*30%, IF(A46="B", B46*25%, IF(A46="C", B46*20%, B46*15%)))</f>
        <v>3600</v>
      </c>
      <c r="D46" s="12">
        <f>IF(A46="A", B46*40%, IF(A46="B", B46*35%, IF(A46="C", B46*30%, B46*20%)))</f>
        <v>5400</v>
      </c>
      <c r="E46" s="6">
        <f>IF(A46="A",B46*50%,IF(A46="B",B46*40%,IF(A46="C",B46*30%,B46*20%)))</f>
        <v>5400</v>
      </c>
      <c r="F46" s="13">
        <f>SUM(B46:E46)</f>
        <v>32400</v>
      </c>
      <c r="G46" s="13">
        <f>IF(F46&gt;=39600, F46*10%, 0)</f>
        <v>0</v>
      </c>
      <c r="H46" s="13">
        <f>F46-G46</f>
        <v>32400</v>
      </c>
      <c r="I46" s="13" t="s">
        <v>58</v>
      </c>
    </row>
    <row r="51" spans="1:3" x14ac:dyDescent="0.25">
      <c r="A51" s="21" t="s">
        <v>59</v>
      </c>
      <c r="B51" s="22"/>
      <c r="C51" s="23"/>
    </row>
    <row r="52" spans="1:3" x14ac:dyDescent="0.25">
      <c r="A52" s="14" t="s">
        <v>60</v>
      </c>
      <c r="B52" s="14" t="s">
        <v>61</v>
      </c>
      <c r="C52" s="14" t="s">
        <v>62</v>
      </c>
    </row>
    <row r="53" spans="1:3" x14ac:dyDescent="0.25">
      <c r="A53" s="15">
        <v>45827</v>
      </c>
      <c r="B53" s="16">
        <v>3400</v>
      </c>
      <c r="C53" s="16">
        <v>60</v>
      </c>
    </row>
    <row r="54" spans="1:3" x14ac:dyDescent="0.25">
      <c r="A54" s="15">
        <v>45828</v>
      </c>
      <c r="B54" s="16">
        <v>1200</v>
      </c>
      <c r="C54" s="16">
        <v>200</v>
      </c>
    </row>
    <row r="55" spans="1:3" x14ac:dyDescent="0.25">
      <c r="A55" s="15">
        <v>45829</v>
      </c>
      <c r="B55" s="16">
        <v>3000</v>
      </c>
      <c r="C55" s="16">
        <v>1200</v>
      </c>
    </row>
    <row r="56" spans="1:3" x14ac:dyDescent="0.25">
      <c r="A56" s="15">
        <v>45830</v>
      </c>
      <c r="B56" s="16">
        <v>4500</v>
      </c>
      <c r="C56" s="16">
        <v>100</v>
      </c>
    </row>
    <row r="57" spans="1:3" x14ac:dyDescent="0.25">
      <c r="A57" s="15">
        <v>45831</v>
      </c>
      <c r="B57" s="16">
        <v>2300</v>
      </c>
      <c r="C57" s="16">
        <v>340</v>
      </c>
    </row>
    <row r="58" spans="1:3" x14ac:dyDescent="0.25">
      <c r="A58" s="15">
        <v>45832</v>
      </c>
      <c r="B58" s="16">
        <v>5000</v>
      </c>
      <c r="C58" s="16">
        <v>200</v>
      </c>
    </row>
    <row r="59" spans="1:3" x14ac:dyDescent="0.25">
      <c r="A59" s="15">
        <v>45833</v>
      </c>
      <c r="B59" s="16">
        <v>4513.3333333333303</v>
      </c>
      <c r="C59" s="16">
        <v>378.666666666666</v>
      </c>
    </row>
    <row r="60" spans="1:3" x14ac:dyDescent="0.25">
      <c r="A60" s="15">
        <v>45834</v>
      </c>
      <c r="B60" s="16">
        <v>4879.0476190476202</v>
      </c>
      <c r="C60" s="16">
        <v>396.38095238095201</v>
      </c>
    </row>
    <row r="61" spans="1:3" x14ac:dyDescent="0.25">
      <c r="A61" s="15">
        <v>45835</v>
      </c>
      <c r="B61" s="16">
        <v>5244.7619047619</v>
      </c>
      <c r="C61" s="16">
        <v>414.09523809523802</v>
      </c>
    </row>
    <row r="62" spans="1:3" x14ac:dyDescent="0.25">
      <c r="A62" s="15">
        <v>45836</v>
      </c>
      <c r="B62" s="16">
        <v>5610.4761904761899</v>
      </c>
      <c r="C62" s="16">
        <v>431.809523809523</v>
      </c>
    </row>
    <row r="63" spans="1:3" x14ac:dyDescent="0.25">
      <c r="A63" s="15">
        <v>45837</v>
      </c>
      <c r="B63" s="16">
        <v>5976.1904761904798</v>
      </c>
      <c r="C63" s="16">
        <v>449.52380952380901</v>
      </c>
    </row>
    <row r="64" spans="1:3" x14ac:dyDescent="0.25">
      <c r="A64" s="15">
        <v>45838</v>
      </c>
      <c r="B64" s="16">
        <v>6341.9047619047597</v>
      </c>
      <c r="C64" s="16">
        <v>467.23809523809501</v>
      </c>
    </row>
    <row r="65" spans="1:3" x14ac:dyDescent="0.25">
      <c r="A65" s="15">
        <v>45839</v>
      </c>
      <c r="B65" s="16">
        <v>6707.6190476190504</v>
      </c>
      <c r="C65" s="16">
        <v>484.95238095238</v>
      </c>
    </row>
    <row r="66" spans="1:3" x14ac:dyDescent="0.25">
      <c r="A66" s="15">
        <v>45840</v>
      </c>
      <c r="B66" s="16">
        <v>7073.3333333333303</v>
      </c>
      <c r="C66" s="16">
        <v>502.666666666666</v>
      </c>
    </row>
    <row r="67" spans="1:3" x14ac:dyDescent="0.25">
      <c r="A67" s="15">
        <v>45841</v>
      </c>
      <c r="B67" s="16">
        <v>7439.0476190476202</v>
      </c>
      <c r="C67" s="16">
        <v>520.38095238095195</v>
      </c>
    </row>
    <row r="68" spans="1:3" x14ac:dyDescent="0.25">
      <c r="A68" s="14" t="s">
        <v>63</v>
      </c>
      <c r="B68" s="17">
        <f>SUM(B53:B67)</f>
        <v>73185.714285714275</v>
      </c>
      <c r="C68" s="17">
        <f>SUM(C53:C67)</f>
        <v>6145.7142857142817</v>
      </c>
    </row>
    <row r="69" spans="1:3" x14ac:dyDescent="0.25">
      <c r="A69" s="18" t="s">
        <v>64</v>
      </c>
      <c r="B69" s="20">
        <f>B68-C68</f>
        <v>67040</v>
      </c>
      <c r="C69" s="19"/>
    </row>
  </sheetData>
  <mergeCells count="2">
    <mergeCell ref="A5:I5"/>
    <mergeCell ref="A51:C51"/>
  </mergeCells>
  <conditionalFormatting sqref="A37:I46">
    <cfRule type="expression" dxfId="1" priority="1">
      <formula>$L1048497="Oct"</formula>
    </cfRule>
    <cfRule type="expression" dxfId="0" priority="2">
      <formula>$A38="Hamid"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umarghjkh gjgdsssas</dc:creator>
  <cp:lastModifiedBy>umarghjkh gjgdsssas</cp:lastModifiedBy>
  <dcterms:created xsi:type="dcterms:W3CDTF">2025-10-14T09:27:24Z</dcterms:created>
  <dcterms:modified xsi:type="dcterms:W3CDTF">2025-10-14T09:33:18Z</dcterms:modified>
</cp:coreProperties>
</file>