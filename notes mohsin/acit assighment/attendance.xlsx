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7237E515-DAFB-4354-91D0-C867243E9FB4}" xr6:coauthVersionLast="47" xr6:coauthVersionMax="47" xr10:uidLastSave="{00000000-0000-0000-0000-000000000000}"/>
  <bookViews>
    <workbookView xWindow="-120" yWindow="-120" windowWidth="20730" windowHeight="11040" xr2:uid="{43DDF6BA-F453-4A3D-A71D-EC90AC903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8" i="1" l="1"/>
  <c r="AM9" i="1"/>
  <c r="AM10" i="1"/>
  <c r="AM11" i="1"/>
  <c r="AM12" i="1"/>
  <c r="AM13" i="1"/>
  <c r="AM14" i="1"/>
  <c r="AM15" i="1"/>
  <c r="AM16" i="1"/>
  <c r="AM7" i="1"/>
  <c r="A7" i="1"/>
  <c r="A8" i="1"/>
  <c r="A9" i="1" s="1"/>
  <c r="AL8" i="1"/>
  <c r="AL9" i="1"/>
  <c r="AL10" i="1"/>
  <c r="AL11" i="1"/>
  <c r="AL12" i="1"/>
  <c r="AL13" i="1"/>
  <c r="AL14" i="1"/>
  <c r="AL15" i="1"/>
  <c r="AL16" i="1"/>
  <c r="AL7" i="1"/>
  <c r="AN7" i="1"/>
  <c r="AO7" i="1" s="1"/>
  <c r="AJ8" i="1"/>
  <c r="AN8" i="1" s="1"/>
  <c r="AO8" i="1" s="1"/>
  <c r="AJ9" i="1"/>
  <c r="AN9" i="1" s="1"/>
  <c r="AO9" i="1" s="1"/>
  <c r="AJ10" i="1"/>
  <c r="AN10" i="1" s="1"/>
  <c r="AO10" i="1" s="1"/>
  <c r="AJ11" i="1"/>
  <c r="AN11" i="1" s="1"/>
  <c r="AO11" i="1" s="1"/>
  <c r="AK8" i="1"/>
  <c r="AK9" i="1"/>
  <c r="AK10" i="1"/>
  <c r="AK11" i="1"/>
  <c r="AK12" i="1"/>
  <c r="AK13" i="1"/>
  <c r="AK14" i="1"/>
  <c r="AK15" i="1"/>
  <c r="AK16" i="1"/>
  <c r="AK7" i="1"/>
  <c r="AJ12" i="1"/>
  <c r="AN12" i="1" s="1"/>
  <c r="AO12" i="1" s="1"/>
  <c r="AJ13" i="1"/>
  <c r="AN13" i="1" s="1"/>
  <c r="AO13" i="1" s="1"/>
  <c r="AJ14" i="1"/>
  <c r="AN14" i="1" s="1"/>
  <c r="AO14" i="1" s="1"/>
  <c r="AJ15" i="1"/>
  <c r="AN15" i="1" s="1"/>
  <c r="AO15" i="1" s="1"/>
  <c r="AJ16" i="1"/>
  <c r="AN16" i="1" s="1"/>
  <c r="AO16" i="1" s="1"/>
  <c r="D5" i="1"/>
  <c r="E5" i="1" l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l="1"/>
  <c r="AA5" i="1" s="1"/>
  <c r="AB5" i="1" s="1"/>
  <c r="AC5" i="1" s="1"/>
  <c r="AD5" i="1" s="1"/>
  <c r="AE5" i="1" s="1"/>
  <c r="AF5" i="1" s="1"/>
  <c r="A10" i="1"/>
  <c r="AG5" i="1" l="1"/>
  <c r="AH5" i="1" s="1"/>
  <c r="A11" i="1"/>
  <c r="A12" i="1" l="1"/>
  <c r="A13" i="1" s="1"/>
  <c r="A14" i="1" l="1"/>
  <c r="A15" i="1" s="1"/>
  <c r="A16" i="1" s="1"/>
</calcChain>
</file>

<file path=xl/sharedStrings.xml><?xml version="1.0" encoding="utf-8"?>
<sst xmlns="http://schemas.openxmlformats.org/spreadsheetml/2006/main" count="290" uniqueCount="31">
  <si>
    <t>S#</t>
  </si>
  <si>
    <t>Reg#</t>
  </si>
  <si>
    <t>Name</t>
  </si>
  <si>
    <t>Rg-01</t>
  </si>
  <si>
    <t>Bibi Sabiha</t>
  </si>
  <si>
    <t>P</t>
  </si>
  <si>
    <t>Rg-02</t>
  </si>
  <si>
    <t>Hikmatullah</t>
  </si>
  <si>
    <t>Rg-03</t>
  </si>
  <si>
    <t>Muhammad Azan</t>
  </si>
  <si>
    <t>Rg-04</t>
  </si>
  <si>
    <t>Syed Sufiyan</t>
  </si>
  <si>
    <t>Rg-05</t>
  </si>
  <si>
    <t>Muhammad Hammad</t>
  </si>
  <si>
    <t>Rg-06</t>
  </si>
  <si>
    <t>Muhammad Zahid</t>
  </si>
  <si>
    <t>Rg-07</t>
  </si>
  <si>
    <t>Muhammad Zahir</t>
  </si>
  <si>
    <t>Rg-08</t>
  </si>
  <si>
    <t>Muhammad Awais</t>
  </si>
  <si>
    <t>Rg-09</t>
  </si>
  <si>
    <t>SOHAIL AHMED</t>
  </si>
  <si>
    <t>Rg-10</t>
  </si>
  <si>
    <t>Ahmed Sufiyan</t>
  </si>
  <si>
    <t>A</t>
  </si>
  <si>
    <t>L</t>
  </si>
  <si>
    <t>W.D</t>
  </si>
  <si>
    <t>%Age</t>
  </si>
  <si>
    <t>p</t>
  </si>
  <si>
    <t>Eligeblity for Exam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</si>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</sst>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"/>
    <numFmt numFmtId="165" formatCode="dd"/>
    <numFmt numFmtId="166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4" fontId="0" fillId="0" borderId="0" xfId="0" applyNumberFormat="1"/>
    <xf numFmtId="0" fontId="1" fillId="4" borderId="3" xfId="0" applyFont="1" applyFill="1" applyBorder="1" applyAlignment="1">
      <alignment horizontal="center" vertical="center"/>
    </xf>
    <xf numFmtId="0" fontId="0" fillId="4" borderId="0" xfId="0" applyFill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C000"/>
      </font>
    </dxf>
    <dxf>
      <font>
        <color theme="8"/>
      </font>
    </dxf>
  </dxfs>
  <tableStyles count="0" defaultTableStyle="TableStyleMedium2" defaultPivotStyle="PivotStyleLight16"/>
  <colors>
    <mruColors>
      <color rgb="FF77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1F71-2085-422A-A421-7EF033279440}">
  <dimension ref="A2:AO16"/>
  <sheetViews>
    <sheetView tabSelected="1" zoomScale="124" zoomScaleNormal="124" workbookViewId="0">
      <selection activeCell="C2" sqref="C2"/>
    </sheetView>
  </sheetViews>
  <sheetFormatPr defaultRowHeight="15" x14ac:dyDescent="0.25"/>
  <cols>
    <col min="1" max="1" width="3.28515625" bestFit="1" customWidth="1"/>
    <col min="2" max="2" width="5.85546875" bestFit="1" customWidth="1"/>
    <col min="3" max="3" width="20.140625" bestFit="1" customWidth="1"/>
    <col min="4" max="4" width="4.5703125" bestFit="1" customWidth="1"/>
    <col min="5" max="5" width="5.5703125" bestFit="1" customWidth="1"/>
    <col min="6" max="6" width="4.7109375" bestFit="1" customWidth="1"/>
    <col min="7" max="7" width="3.42578125" bestFit="1" customWidth="1"/>
    <col min="8" max="8" width="4" bestFit="1" customWidth="1"/>
    <col min="9" max="9" width="4.5703125" bestFit="1" customWidth="1"/>
    <col min="10" max="10" width="5.5703125" bestFit="1" customWidth="1"/>
    <col min="11" max="11" width="4.5703125" bestFit="1" customWidth="1"/>
    <col min="12" max="12" width="5.5703125" bestFit="1" customWidth="1"/>
    <col min="13" max="13" width="4.7109375" bestFit="1" customWidth="1"/>
    <col min="14" max="14" width="3.42578125" bestFit="1" customWidth="1"/>
    <col min="15" max="15" width="4" bestFit="1" customWidth="1"/>
    <col min="16" max="16" width="4.5703125" bestFit="1" customWidth="1"/>
    <col min="17" max="17" width="5.5703125" bestFit="1" customWidth="1"/>
    <col min="18" max="18" width="4.5703125" bestFit="1" customWidth="1"/>
    <col min="19" max="19" width="5.5703125" bestFit="1" customWidth="1"/>
    <col min="20" max="20" width="4.7109375" bestFit="1" customWidth="1"/>
    <col min="21" max="21" width="3.42578125" bestFit="1" customWidth="1"/>
    <col min="22" max="22" width="4" bestFit="1" customWidth="1"/>
    <col min="23" max="23" width="4.5703125" bestFit="1" customWidth="1"/>
    <col min="24" max="24" width="5.5703125" bestFit="1" customWidth="1"/>
    <col min="25" max="25" width="4.5703125" bestFit="1" customWidth="1"/>
    <col min="26" max="26" width="5.5703125" style="13" bestFit="1" customWidth="1"/>
    <col min="27" max="27" width="4.7109375" bestFit="1" customWidth="1"/>
    <col min="28" max="28" width="3.42578125" bestFit="1" customWidth="1"/>
    <col min="29" max="29" width="4" bestFit="1" customWidth="1"/>
    <col min="30" max="30" width="4.5703125" bestFit="1" customWidth="1"/>
    <col min="31" max="31" width="5.5703125" bestFit="1" customWidth="1"/>
    <col min="32" max="32" width="4.5703125" bestFit="1" customWidth="1"/>
    <col min="33" max="33" width="5.5703125" style="13" bestFit="1" customWidth="1"/>
    <col min="34" max="34" width="4.7109375" bestFit="1" customWidth="1"/>
    <col min="35" max="35" width="5.140625" bestFit="1" customWidth="1"/>
    <col min="36" max="36" width="3.140625" bestFit="1" customWidth="1"/>
    <col min="37" max="37" width="2.42578125" bestFit="1" customWidth="1"/>
    <col min="38" max="38" width="2.140625" bestFit="1" customWidth="1"/>
    <col min="39" max="39" width="11.42578125" bestFit="1" customWidth="1"/>
    <col min="40" max="40" width="6.28515625" bestFit="1" customWidth="1"/>
    <col min="41" max="41" width="19.140625" bestFit="1" customWidth="1"/>
  </cols>
  <sheetData>
    <row r="2" spans="1:41" x14ac:dyDescent="0.25">
      <c r="C2" s="11">
        <v>45748</v>
      </c>
    </row>
    <row r="5" spans="1:41" ht="15.75" x14ac:dyDescent="0.25">
      <c r="A5" s="14" t="s">
        <v>0</v>
      </c>
      <c r="B5" s="14" t="s">
        <v>1</v>
      </c>
      <c r="C5" s="14" t="s">
        <v>2</v>
      </c>
      <c r="D5" s="1">
        <f>C2</f>
        <v>45748</v>
      </c>
      <c r="E5" s="1">
        <f>D5+1</f>
        <v>45749</v>
      </c>
      <c r="F5" s="1">
        <f>E5+1</f>
        <v>45750</v>
      </c>
      <c r="G5" s="1">
        <f t="shared" ref="G5:AH5" si="0">F5+1</f>
        <v>45751</v>
      </c>
      <c r="H5" s="1">
        <f t="shared" si="0"/>
        <v>45752</v>
      </c>
      <c r="I5" s="1">
        <f t="shared" si="0"/>
        <v>45753</v>
      </c>
      <c r="J5" s="1">
        <f>I5+1</f>
        <v>45754</v>
      </c>
      <c r="K5" s="1">
        <f t="shared" si="0"/>
        <v>45755</v>
      </c>
      <c r="L5" s="1">
        <f t="shared" ref="L5" si="1">K5+1</f>
        <v>45756</v>
      </c>
      <c r="M5" s="1">
        <f t="shared" ref="M5" si="2">L5+1</f>
        <v>45757</v>
      </c>
      <c r="N5" s="1">
        <f t="shared" ref="N5" si="3">M5+1</f>
        <v>45758</v>
      </c>
      <c r="O5" s="1">
        <f t="shared" ref="O5" si="4">N5+1</f>
        <v>45759</v>
      </c>
      <c r="P5" s="1">
        <f t="shared" ref="P5" si="5">O5+1</f>
        <v>45760</v>
      </c>
      <c r="Q5" s="1">
        <f t="shared" ref="Q5" si="6">P5+1</f>
        <v>45761</v>
      </c>
      <c r="R5" s="1">
        <f t="shared" ref="R5" si="7">Q5+1</f>
        <v>45762</v>
      </c>
      <c r="S5" s="1">
        <f t="shared" ref="S5" si="8">R5+1</f>
        <v>45763</v>
      </c>
      <c r="T5" s="1">
        <f t="shared" ref="T5" si="9">S5+1</f>
        <v>45764</v>
      </c>
      <c r="U5" s="1">
        <f t="shared" si="0"/>
        <v>45765</v>
      </c>
      <c r="V5" s="1">
        <f t="shared" si="0"/>
        <v>45766</v>
      </c>
      <c r="W5" s="1">
        <f>V5+1</f>
        <v>45767</v>
      </c>
      <c r="X5" s="1">
        <f t="shared" si="0"/>
        <v>45768</v>
      </c>
      <c r="Y5" s="1">
        <f t="shared" si="0"/>
        <v>45769</v>
      </c>
      <c r="Z5" s="1">
        <f t="shared" si="0"/>
        <v>45770</v>
      </c>
      <c r="AA5" s="1">
        <f t="shared" si="0"/>
        <v>45771</v>
      </c>
      <c r="AB5" s="1">
        <f t="shared" si="0"/>
        <v>45772</v>
      </c>
      <c r="AC5" s="1">
        <f t="shared" si="0"/>
        <v>45773</v>
      </c>
      <c r="AD5" s="1">
        <f t="shared" si="0"/>
        <v>45774</v>
      </c>
      <c r="AE5" s="1">
        <f t="shared" si="0"/>
        <v>45775</v>
      </c>
      <c r="AF5" s="1">
        <f t="shared" si="0"/>
        <v>45776</v>
      </c>
      <c r="AG5" s="1">
        <f t="shared" si="0"/>
        <v>45777</v>
      </c>
      <c r="AH5" s="1">
        <f t="shared" si="0"/>
        <v>45778</v>
      </c>
      <c r="AI5" s="2" t="s">
        <v>26</v>
      </c>
      <c r="AJ5" s="2" t="s">
        <v>5</v>
      </c>
      <c r="AK5" s="2" t="s">
        <v>24</v>
      </c>
      <c r="AL5" s="2" t="s">
        <v>25</v>
      </c>
      <c r="AM5" s="2" t="s">
        <v>30</v>
      </c>
      <c r="AN5" s="2" t="s">
        <v>27</v>
      </c>
      <c r="AO5" s="2" t="s">
        <v>29</v>
      </c>
    </row>
    <row r="6" spans="1:41" ht="15.75" x14ac:dyDescent="0.25">
      <c r="A6" s="15"/>
      <c r="B6" s="15"/>
      <c r="C6" s="15"/>
      <c r="D6" s="3">
        <v>1</v>
      </c>
      <c r="E6" s="3">
        <v>45932</v>
      </c>
      <c r="F6" s="3">
        <v>45933</v>
      </c>
      <c r="G6" s="3">
        <v>45934</v>
      </c>
      <c r="H6" s="3">
        <v>45935</v>
      </c>
      <c r="I6" s="3">
        <v>45936</v>
      </c>
      <c r="J6" s="3">
        <v>45937</v>
      </c>
      <c r="K6" s="3">
        <v>45938</v>
      </c>
      <c r="L6" s="3">
        <v>45939</v>
      </c>
      <c r="M6" s="3">
        <v>45940</v>
      </c>
      <c r="N6" s="3">
        <v>45941</v>
      </c>
      <c r="O6" s="3">
        <v>45942</v>
      </c>
      <c r="P6" s="3">
        <v>45943</v>
      </c>
      <c r="Q6" s="3">
        <v>45944</v>
      </c>
      <c r="R6" s="3">
        <v>45945</v>
      </c>
      <c r="S6" s="3">
        <v>45946</v>
      </c>
      <c r="T6" s="3">
        <v>45947</v>
      </c>
      <c r="U6" s="3">
        <v>45948</v>
      </c>
      <c r="V6" s="3">
        <v>45949</v>
      </c>
      <c r="W6" s="3">
        <v>45950</v>
      </c>
      <c r="X6" s="3">
        <v>45951</v>
      </c>
      <c r="Y6" s="3">
        <v>45952</v>
      </c>
      <c r="Z6" s="3">
        <v>45953</v>
      </c>
      <c r="AA6" s="3">
        <v>45954</v>
      </c>
      <c r="AB6" s="3">
        <v>45955</v>
      </c>
      <c r="AC6" s="3">
        <v>45956</v>
      </c>
      <c r="AD6" s="3">
        <v>45957</v>
      </c>
      <c r="AE6" s="3">
        <v>45958</v>
      </c>
      <c r="AF6" s="3">
        <v>45959</v>
      </c>
      <c r="AG6" s="3">
        <v>45960</v>
      </c>
      <c r="AH6" s="3">
        <v>45961</v>
      </c>
      <c r="AI6" s="2"/>
      <c r="AJ6" s="2"/>
      <c r="AK6" s="2"/>
      <c r="AL6" s="2"/>
      <c r="AM6" s="2"/>
      <c r="AN6" s="2"/>
      <c r="AO6" s="2"/>
    </row>
    <row r="7" spans="1:41" x14ac:dyDescent="0.25">
      <c r="A7" s="5">
        <f>IF(ISBLANK(B7),"",MAX(A$2:$A6)+1)</f>
        <v>1</v>
      </c>
      <c r="B7" s="5" t="s">
        <v>3</v>
      </c>
      <c r="C7" s="5" t="s">
        <v>4</v>
      </c>
      <c r="D7" s="4" t="s">
        <v>25</v>
      </c>
      <c r="E7" s="12"/>
      <c r="F7" s="4" t="s">
        <v>5</v>
      </c>
      <c r="G7" s="4" t="s">
        <v>5</v>
      </c>
      <c r="H7" s="4" t="s">
        <v>5</v>
      </c>
      <c r="I7" s="4" t="s">
        <v>5</v>
      </c>
      <c r="J7" s="4" t="s">
        <v>5</v>
      </c>
      <c r="K7" s="4" t="s">
        <v>24</v>
      </c>
      <c r="L7" s="12"/>
      <c r="M7" s="4" t="s">
        <v>24</v>
      </c>
      <c r="N7" s="4" t="s">
        <v>24</v>
      </c>
      <c r="O7" s="4" t="s">
        <v>24</v>
      </c>
      <c r="P7" s="4" t="s">
        <v>5</v>
      </c>
      <c r="Q7" s="4" t="s">
        <v>5</v>
      </c>
      <c r="R7" s="4" t="s">
        <v>5</v>
      </c>
      <c r="S7" s="12"/>
      <c r="T7" s="4" t="s">
        <v>5</v>
      </c>
      <c r="U7" s="4" t="s">
        <v>5</v>
      </c>
      <c r="V7" s="4" t="s">
        <v>5</v>
      </c>
      <c r="W7" s="4" t="s">
        <v>5</v>
      </c>
      <c r="X7" s="4" t="s">
        <v>5</v>
      </c>
      <c r="Y7" s="4" t="s">
        <v>5</v>
      </c>
      <c r="Z7" s="12"/>
      <c r="AA7" s="4" t="s">
        <v>5</v>
      </c>
      <c r="AB7" s="4" t="s">
        <v>5</v>
      </c>
      <c r="AC7" s="4" t="s">
        <v>5</v>
      </c>
      <c r="AD7" s="4" t="s">
        <v>5</v>
      </c>
      <c r="AE7" s="4" t="s">
        <v>5</v>
      </c>
      <c r="AF7" s="4" t="s">
        <v>5</v>
      </c>
      <c r="AG7" s="12"/>
      <c r="AH7" s="4" t="s">
        <v>5</v>
      </c>
      <c r="AI7" s="8">
        <v>26</v>
      </c>
      <c r="AJ7" s="8"/>
      <c r="AK7" s="8">
        <f>COUNTIF(D7:AH7,"A")</f>
        <v>4</v>
      </c>
      <c r="AL7" s="8">
        <f t="shared" ref="AL7:AL16" si="10">COUNTIF(D7:AH7,"L")</f>
        <v>1</v>
      </c>
      <c r="AM7" s="9" t="str">
        <f>IF(AK7=0, "Excellent!", IF(AK7=1, "Good", IF(AK7=2, "Fair", IF(AK7=3, "Be Punctual", IF(AK7=4, "Plz Contact", "Struck off")))))</f>
        <v>Plz Contact</v>
      </c>
      <c r="AN7" s="6">
        <f t="shared" ref="AN7:AN16" si="11">AJ7*100/AI7</f>
        <v>0</v>
      </c>
      <c r="AO7" s="10" t="str">
        <f>IF(AND(AN7&gt;70, AJ6&lt;=100),"Eligible","Not Eligible")</f>
        <v>Not Eligible</v>
      </c>
    </row>
    <row r="8" spans="1:41" x14ac:dyDescent="0.25">
      <c r="A8" s="5">
        <f>IF(ISBLANK(B8),"",MAX(A$2:$A7)+1)</f>
        <v>2</v>
      </c>
      <c r="B8" s="5" t="s">
        <v>6</v>
      </c>
      <c r="C8" s="5" t="s">
        <v>7</v>
      </c>
      <c r="D8" s="4" t="s">
        <v>5</v>
      </c>
      <c r="E8" s="12"/>
      <c r="F8" s="4" t="s">
        <v>5</v>
      </c>
      <c r="G8" s="4" t="s">
        <v>5</v>
      </c>
      <c r="H8" s="4" t="s">
        <v>5</v>
      </c>
      <c r="I8" s="4" t="s">
        <v>5</v>
      </c>
      <c r="J8" s="4" t="s">
        <v>5</v>
      </c>
      <c r="K8" s="4" t="s">
        <v>5</v>
      </c>
      <c r="L8" s="12"/>
      <c r="M8" s="4" t="s">
        <v>5</v>
      </c>
      <c r="N8" s="4" t="s">
        <v>5</v>
      </c>
      <c r="O8" s="4" t="s">
        <v>5</v>
      </c>
      <c r="P8" s="4" t="s">
        <v>5</v>
      </c>
      <c r="Q8" s="4" t="s">
        <v>5</v>
      </c>
      <c r="R8" s="4" t="s">
        <v>5</v>
      </c>
      <c r="S8" s="12"/>
      <c r="T8" s="4" t="s">
        <v>5</v>
      </c>
      <c r="U8" s="4" t="s">
        <v>5</v>
      </c>
      <c r="V8" s="4" t="s">
        <v>24</v>
      </c>
      <c r="W8" s="4" t="s">
        <v>5</v>
      </c>
      <c r="X8" s="4" t="s">
        <v>5</v>
      </c>
      <c r="Y8" s="4" t="s">
        <v>5</v>
      </c>
      <c r="Z8" s="12"/>
      <c r="AA8" s="4" t="s">
        <v>5</v>
      </c>
      <c r="AB8" s="4" t="s">
        <v>5</v>
      </c>
      <c r="AC8" s="4" t="s">
        <v>5</v>
      </c>
      <c r="AD8" s="4" t="s">
        <v>5</v>
      </c>
      <c r="AE8" s="4" t="s">
        <v>24</v>
      </c>
      <c r="AF8" s="4" t="s">
        <v>5</v>
      </c>
      <c r="AG8" s="12"/>
      <c r="AH8" s="4" t="s">
        <v>5</v>
      </c>
      <c r="AI8" s="8">
        <v>26</v>
      </c>
      <c r="AJ8" s="8">
        <f t="shared" ref="AJ8:AJ16" si="12">COUNTIF(D8:AH8,"P")</f>
        <v>24</v>
      </c>
      <c r="AK8" s="8">
        <f t="shared" ref="AK8:AK16" si="13">COUNTIF(D8:AH8,"A")</f>
        <v>2</v>
      </c>
      <c r="AL8" s="8">
        <f t="shared" si="10"/>
        <v>0</v>
      </c>
      <c r="AM8" s="9" t="str">
        <f t="shared" ref="AM8:AM16" si="14">IF(AK8=0, "Excellent!", IF(AK8=1, "Good", IF(AK8=2, "Fair", IF(AK8=3, "Be Punctual", IF(AK8=4, "Plz Contact", "Struck off")))))</f>
        <v>Fair</v>
      </c>
      <c r="AN8" s="6">
        <f t="shared" si="11"/>
        <v>92.307692307692307</v>
      </c>
      <c r="AO8" s="10" t="str">
        <f t="shared" ref="AO8:AO16" si="15">IF(AND(AN8&gt;70, AI7&lt;=100),"Eligible","Not Eligible")</f>
        <v>Eligible</v>
      </c>
    </row>
    <row r="9" spans="1:41" x14ac:dyDescent="0.25">
      <c r="A9" s="5">
        <f>IF(ISBLANK(B9),"",MAX(A$2:$A8)+1)</f>
        <v>3</v>
      </c>
      <c r="B9" s="5" t="s">
        <v>8</v>
      </c>
      <c r="C9" s="7" t="s">
        <v>9</v>
      </c>
      <c r="D9" s="4" t="s">
        <v>25</v>
      </c>
      <c r="E9" s="12"/>
      <c r="F9" s="4" t="s">
        <v>5</v>
      </c>
      <c r="G9" s="4" t="s">
        <v>5</v>
      </c>
      <c r="H9" s="4" t="s">
        <v>5</v>
      </c>
      <c r="I9" s="4" t="s">
        <v>5</v>
      </c>
      <c r="J9" s="4" t="s">
        <v>5</v>
      </c>
      <c r="K9" s="4" t="s">
        <v>5</v>
      </c>
      <c r="L9" s="12"/>
      <c r="M9" s="4" t="s">
        <v>25</v>
      </c>
      <c r="N9" s="4" t="s">
        <v>25</v>
      </c>
      <c r="O9" s="4" t="s">
        <v>5</v>
      </c>
      <c r="P9" s="4" t="s">
        <v>5</v>
      </c>
      <c r="Q9" s="4" t="s">
        <v>5</v>
      </c>
      <c r="R9" s="4" t="s">
        <v>25</v>
      </c>
      <c r="S9" s="12"/>
      <c r="T9" s="4" t="s">
        <v>5</v>
      </c>
      <c r="U9" s="4" t="s">
        <v>5</v>
      </c>
      <c r="V9" s="4" t="s">
        <v>24</v>
      </c>
      <c r="W9" s="4" t="s">
        <v>5</v>
      </c>
      <c r="X9" s="4" t="s">
        <v>5</v>
      </c>
      <c r="Y9" s="4" t="s">
        <v>5</v>
      </c>
      <c r="Z9" s="12"/>
      <c r="AA9" s="4" t="s">
        <v>5</v>
      </c>
      <c r="AB9" s="4" t="s">
        <v>5</v>
      </c>
      <c r="AC9" s="4" t="s">
        <v>5</v>
      </c>
      <c r="AD9" s="4" t="s">
        <v>5</v>
      </c>
      <c r="AE9" s="4" t="s">
        <v>5</v>
      </c>
      <c r="AF9" s="4" t="s">
        <v>24</v>
      </c>
      <c r="AG9" s="12"/>
      <c r="AH9" s="4" t="s">
        <v>24</v>
      </c>
      <c r="AI9" s="8">
        <v>26</v>
      </c>
      <c r="AJ9" s="8">
        <f t="shared" si="12"/>
        <v>19</v>
      </c>
      <c r="AK9" s="8">
        <f t="shared" si="13"/>
        <v>3</v>
      </c>
      <c r="AL9" s="8">
        <f t="shared" si="10"/>
        <v>4</v>
      </c>
      <c r="AM9" s="9" t="str">
        <f t="shared" si="14"/>
        <v>Be Punctual</v>
      </c>
      <c r="AN9" s="6">
        <f t="shared" si="11"/>
        <v>73.07692307692308</v>
      </c>
      <c r="AO9" s="10" t="str">
        <f t="shared" si="15"/>
        <v>Eligible</v>
      </c>
    </row>
    <row r="10" spans="1:41" x14ac:dyDescent="0.25">
      <c r="A10" s="5">
        <f>IF(ISBLANK(B10),"",MAX(A$2:$A9)+1)</f>
        <v>4</v>
      </c>
      <c r="B10" s="5" t="s">
        <v>10</v>
      </c>
      <c r="C10" s="7" t="s">
        <v>11</v>
      </c>
      <c r="D10" s="4" t="s">
        <v>5</v>
      </c>
      <c r="E10" s="12"/>
      <c r="F10" s="4" t="s">
        <v>5</v>
      </c>
      <c r="G10" s="4" t="s">
        <v>5</v>
      </c>
      <c r="H10" s="4" t="s">
        <v>25</v>
      </c>
      <c r="I10" s="4" t="s">
        <v>5</v>
      </c>
      <c r="J10" s="4" t="s">
        <v>5</v>
      </c>
      <c r="K10" s="4" t="s">
        <v>5</v>
      </c>
      <c r="L10" s="12"/>
      <c r="M10" s="4" t="s">
        <v>5</v>
      </c>
      <c r="N10" s="4" t="s">
        <v>25</v>
      </c>
      <c r="O10" s="4" t="s">
        <v>25</v>
      </c>
      <c r="P10" s="4" t="s">
        <v>25</v>
      </c>
      <c r="Q10" s="4" t="s">
        <v>25</v>
      </c>
      <c r="R10" s="4" t="s">
        <v>5</v>
      </c>
      <c r="S10" s="12"/>
      <c r="T10" s="4" t="s">
        <v>5</v>
      </c>
      <c r="U10" s="4" t="s">
        <v>24</v>
      </c>
      <c r="V10" s="4" t="s">
        <v>5</v>
      </c>
      <c r="W10" s="4" t="s">
        <v>5</v>
      </c>
      <c r="X10" s="4" t="s">
        <v>5</v>
      </c>
      <c r="Y10" s="4" t="s">
        <v>5</v>
      </c>
      <c r="Z10" s="12"/>
      <c r="AA10" s="4" t="s">
        <v>5</v>
      </c>
      <c r="AB10" s="4" t="s">
        <v>5</v>
      </c>
      <c r="AC10" s="4" t="s">
        <v>5</v>
      </c>
      <c r="AD10" s="4" t="s">
        <v>5</v>
      </c>
      <c r="AE10" s="4" t="s">
        <v>24</v>
      </c>
      <c r="AF10" s="4" t="s">
        <v>24</v>
      </c>
      <c r="AG10" s="12"/>
      <c r="AH10" s="4" t="s">
        <v>24</v>
      </c>
      <c r="AI10" s="8">
        <v>26</v>
      </c>
      <c r="AJ10" s="8">
        <f t="shared" si="12"/>
        <v>17</v>
      </c>
      <c r="AK10" s="8">
        <f t="shared" si="13"/>
        <v>4</v>
      </c>
      <c r="AL10" s="8">
        <f t="shared" si="10"/>
        <v>5</v>
      </c>
      <c r="AM10" s="9" t="str">
        <f t="shared" si="14"/>
        <v>Plz Contact</v>
      </c>
      <c r="AN10" s="6">
        <f t="shared" si="11"/>
        <v>65.384615384615387</v>
      </c>
      <c r="AO10" s="10" t="str">
        <f t="shared" si="15"/>
        <v>Not Eligible</v>
      </c>
    </row>
    <row r="11" spans="1:41" x14ac:dyDescent="0.25">
      <c r="A11" s="5">
        <f>IF(ISBLANK(B11),"",MAX(A$2:$A10)+1)</f>
        <v>5</v>
      </c>
      <c r="B11" s="5" t="s">
        <v>12</v>
      </c>
      <c r="C11" s="7" t="s">
        <v>13</v>
      </c>
      <c r="D11" s="4" t="s">
        <v>5</v>
      </c>
      <c r="E11" s="12"/>
      <c r="F11" s="4" t="s">
        <v>5</v>
      </c>
      <c r="G11" s="4" t="s">
        <v>5</v>
      </c>
      <c r="H11" s="4" t="s">
        <v>25</v>
      </c>
      <c r="I11" s="4" t="s">
        <v>25</v>
      </c>
      <c r="J11" s="4" t="s">
        <v>25</v>
      </c>
      <c r="K11" s="4" t="s">
        <v>25</v>
      </c>
      <c r="L11" s="12"/>
      <c r="M11" s="4" t="s">
        <v>5</v>
      </c>
      <c r="N11" s="4" t="s">
        <v>5</v>
      </c>
      <c r="O11" s="4" t="s">
        <v>5</v>
      </c>
      <c r="P11" s="4" t="s">
        <v>5</v>
      </c>
      <c r="Q11" s="4" t="s">
        <v>5</v>
      </c>
      <c r="R11" s="4" t="s">
        <v>24</v>
      </c>
      <c r="S11" s="12"/>
      <c r="T11" s="4" t="s">
        <v>5</v>
      </c>
      <c r="U11" s="4" t="s">
        <v>24</v>
      </c>
      <c r="V11" s="4" t="s">
        <v>5</v>
      </c>
      <c r="W11" s="4" t="s">
        <v>5</v>
      </c>
      <c r="X11" s="4" t="s">
        <v>5</v>
      </c>
      <c r="Y11" s="4" t="s">
        <v>5</v>
      </c>
      <c r="Z11" s="12"/>
      <c r="AA11" s="4" t="s">
        <v>5</v>
      </c>
      <c r="AB11" s="4" t="s">
        <v>24</v>
      </c>
      <c r="AC11" s="4" t="s">
        <v>5</v>
      </c>
      <c r="AD11" s="4" t="s">
        <v>5</v>
      </c>
      <c r="AE11" s="4" t="s">
        <v>5</v>
      </c>
      <c r="AF11" s="4" t="s">
        <v>5</v>
      </c>
      <c r="AG11" s="12"/>
      <c r="AH11" s="4" t="s">
        <v>24</v>
      </c>
      <c r="AI11" s="8">
        <v>26</v>
      </c>
      <c r="AJ11" s="8">
        <f t="shared" si="12"/>
        <v>18</v>
      </c>
      <c r="AK11" s="8">
        <f t="shared" si="13"/>
        <v>4</v>
      </c>
      <c r="AL11" s="8">
        <f t="shared" si="10"/>
        <v>4</v>
      </c>
      <c r="AM11" s="9" t="str">
        <f t="shared" si="14"/>
        <v>Plz Contact</v>
      </c>
      <c r="AN11" s="6">
        <f t="shared" si="11"/>
        <v>69.230769230769226</v>
      </c>
      <c r="AO11" s="10" t="str">
        <f t="shared" si="15"/>
        <v>Not Eligible</v>
      </c>
    </row>
    <row r="12" spans="1:41" x14ac:dyDescent="0.25">
      <c r="A12" s="5">
        <f>IF(ISBLANK(B12),"",MAX(A$2:$A11)+1)</f>
        <v>6</v>
      </c>
      <c r="B12" s="5" t="s">
        <v>14</v>
      </c>
      <c r="C12" s="7" t="s">
        <v>15</v>
      </c>
      <c r="D12" s="4" t="s">
        <v>5</v>
      </c>
      <c r="E12" s="12"/>
      <c r="F12" s="4" t="s">
        <v>5</v>
      </c>
      <c r="G12" s="4" t="s">
        <v>5</v>
      </c>
      <c r="H12" s="4" t="s">
        <v>5</v>
      </c>
      <c r="I12" s="4" t="s">
        <v>5</v>
      </c>
      <c r="J12" s="4" t="s">
        <v>25</v>
      </c>
      <c r="K12" s="4" t="s">
        <v>25</v>
      </c>
      <c r="L12" s="12"/>
      <c r="M12" s="4" t="s">
        <v>24</v>
      </c>
      <c r="N12" s="4" t="s">
        <v>5</v>
      </c>
      <c r="O12" s="4" t="s">
        <v>5</v>
      </c>
      <c r="P12" s="4" t="s">
        <v>5</v>
      </c>
      <c r="Q12" s="4" t="s">
        <v>5</v>
      </c>
      <c r="R12" s="4" t="s">
        <v>5</v>
      </c>
      <c r="S12" s="12"/>
      <c r="T12" s="4" t="s">
        <v>24</v>
      </c>
      <c r="U12" s="4" t="s">
        <v>24</v>
      </c>
      <c r="V12" s="4" t="s">
        <v>5</v>
      </c>
      <c r="W12" s="4" t="s">
        <v>5</v>
      </c>
      <c r="X12" s="4" t="s">
        <v>5</v>
      </c>
      <c r="Y12" s="4" t="s">
        <v>5</v>
      </c>
      <c r="Z12" s="12"/>
      <c r="AA12" s="4" t="s">
        <v>5</v>
      </c>
      <c r="AB12" s="4" t="s">
        <v>5</v>
      </c>
      <c r="AC12" s="4" t="s">
        <v>5</v>
      </c>
      <c r="AD12" s="4" t="s">
        <v>5</v>
      </c>
      <c r="AE12" s="4" t="s">
        <v>5</v>
      </c>
      <c r="AF12" s="4" t="s">
        <v>5</v>
      </c>
      <c r="AG12" s="12"/>
      <c r="AH12" s="4" t="s">
        <v>24</v>
      </c>
      <c r="AI12" s="8">
        <v>26</v>
      </c>
      <c r="AJ12" s="8">
        <f t="shared" si="12"/>
        <v>20</v>
      </c>
      <c r="AK12" s="8">
        <f t="shared" si="13"/>
        <v>4</v>
      </c>
      <c r="AL12" s="8">
        <f t="shared" si="10"/>
        <v>2</v>
      </c>
      <c r="AM12" s="9" t="str">
        <f t="shared" si="14"/>
        <v>Plz Contact</v>
      </c>
      <c r="AN12" s="6">
        <f t="shared" si="11"/>
        <v>76.92307692307692</v>
      </c>
      <c r="AO12" s="10" t="str">
        <f t="shared" si="15"/>
        <v>Eligible</v>
      </c>
    </row>
    <row r="13" spans="1:41" x14ac:dyDescent="0.25">
      <c r="A13" s="5">
        <f>IF(ISBLANK(B13),"",MAX(A$2:$A12)+1)</f>
        <v>7</v>
      </c>
      <c r="B13" s="5" t="s">
        <v>16</v>
      </c>
      <c r="C13" s="7" t="s">
        <v>17</v>
      </c>
      <c r="D13" s="4" t="s">
        <v>25</v>
      </c>
      <c r="E13" s="12"/>
      <c r="F13" s="4" t="s">
        <v>5</v>
      </c>
      <c r="G13" s="4" t="s">
        <v>5</v>
      </c>
      <c r="H13" s="4" t="s">
        <v>24</v>
      </c>
      <c r="I13" s="4" t="s">
        <v>5</v>
      </c>
      <c r="J13" s="4" t="s">
        <v>24</v>
      </c>
      <c r="K13" s="4" t="s">
        <v>5</v>
      </c>
      <c r="L13" s="12"/>
      <c r="M13" s="4" t="s">
        <v>5</v>
      </c>
      <c r="N13" s="4" t="s">
        <v>5</v>
      </c>
      <c r="O13" s="4" t="s">
        <v>5</v>
      </c>
      <c r="P13" s="4" t="s">
        <v>5</v>
      </c>
      <c r="Q13" s="4" t="s">
        <v>5</v>
      </c>
      <c r="R13" s="4" t="s">
        <v>28</v>
      </c>
      <c r="S13" s="12"/>
      <c r="T13" s="4" t="s">
        <v>24</v>
      </c>
      <c r="U13" s="4" t="s">
        <v>5</v>
      </c>
      <c r="V13" s="4" t="s">
        <v>5</v>
      </c>
      <c r="W13" s="4" t="s">
        <v>5</v>
      </c>
      <c r="X13" s="4" t="s">
        <v>5</v>
      </c>
      <c r="Y13" s="4" t="s">
        <v>5</v>
      </c>
      <c r="Z13" s="12"/>
      <c r="AA13" s="4" t="s">
        <v>5</v>
      </c>
      <c r="AB13" s="4" t="s">
        <v>5</v>
      </c>
      <c r="AC13" s="4" t="s">
        <v>5</v>
      </c>
      <c r="AD13" s="4" t="s">
        <v>5</v>
      </c>
      <c r="AE13" s="4" t="s">
        <v>5</v>
      </c>
      <c r="AF13" s="4" t="s">
        <v>5</v>
      </c>
      <c r="AG13" s="12"/>
      <c r="AH13" s="4" t="s">
        <v>24</v>
      </c>
      <c r="AI13" s="8">
        <v>26</v>
      </c>
      <c r="AJ13" s="8">
        <f t="shared" si="12"/>
        <v>21</v>
      </c>
      <c r="AK13" s="8">
        <f t="shared" si="13"/>
        <v>4</v>
      </c>
      <c r="AL13" s="8">
        <f t="shared" si="10"/>
        <v>1</v>
      </c>
      <c r="AM13" s="9" t="str">
        <f t="shared" si="14"/>
        <v>Plz Contact</v>
      </c>
      <c r="AN13" s="6">
        <f t="shared" si="11"/>
        <v>80.769230769230774</v>
      </c>
      <c r="AO13" s="10" t="str">
        <f t="shared" si="15"/>
        <v>Eligible</v>
      </c>
    </row>
    <row r="14" spans="1:41" x14ac:dyDescent="0.25">
      <c r="A14" s="5">
        <f>IF(ISBLANK(B14),"",MAX(A$2:$A13)+1)</f>
        <v>8</v>
      </c>
      <c r="B14" s="5" t="s">
        <v>18</v>
      </c>
      <c r="C14" s="7" t="s">
        <v>19</v>
      </c>
      <c r="D14" s="4" t="s">
        <v>5</v>
      </c>
      <c r="E14" s="12"/>
      <c r="F14" s="4" t="s">
        <v>5</v>
      </c>
      <c r="G14" s="4" t="s">
        <v>5</v>
      </c>
      <c r="H14" s="4" t="s">
        <v>5</v>
      </c>
      <c r="I14" s="4" t="s">
        <v>5</v>
      </c>
      <c r="J14" s="4" t="s">
        <v>5</v>
      </c>
      <c r="K14" s="4" t="s">
        <v>5</v>
      </c>
      <c r="L14" s="12"/>
      <c r="M14" s="4" t="s">
        <v>5</v>
      </c>
      <c r="N14" s="4" t="s">
        <v>5</v>
      </c>
      <c r="O14" s="4" t="s">
        <v>5</v>
      </c>
      <c r="P14" s="4" t="s">
        <v>5</v>
      </c>
      <c r="Q14" s="4" t="s">
        <v>5</v>
      </c>
      <c r="R14" s="4" t="s">
        <v>28</v>
      </c>
      <c r="S14" s="12"/>
      <c r="T14" s="4" t="s">
        <v>5</v>
      </c>
      <c r="U14" s="4" t="s">
        <v>5</v>
      </c>
      <c r="V14" s="4" t="s">
        <v>5</v>
      </c>
      <c r="W14" s="4" t="s">
        <v>5</v>
      </c>
      <c r="X14" s="4" t="s">
        <v>5</v>
      </c>
      <c r="Y14" s="4" t="s">
        <v>5</v>
      </c>
      <c r="Z14" s="12"/>
      <c r="AA14" s="4" t="s">
        <v>5</v>
      </c>
      <c r="AB14" s="4" t="s">
        <v>5</v>
      </c>
      <c r="AC14" s="4" t="s">
        <v>5</v>
      </c>
      <c r="AD14" s="4" t="s">
        <v>5</v>
      </c>
      <c r="AE14" s="4" t="s">
        <v>5</v>
      </c>
      <c r="AF14" s="4" t="s">
        <v>5</v>
      </c>
      <c r="AG14" s="12"/>
      <c r="AH14" s="4" t="s">
        <v>5</v>
      </c>
      <c r="AI14" s="8">
        <v>26</v>
      </c>
      <c r="AJ14" s="8">
        <f t="shared" si="12"/>
        <v>26</v>
      </c>
      <c r="AK14" s="8">
        <f t="shared" si="13"/>
        <v>0</v>
      </c>
      <c r="AL14" s="8">
        <f t="shared" si="10"/>
        <v>0</v>
      </c>
      <c r="AM14" s="9" t="str">
        <f t="shared" si="14"/>
        <v>Excellent!</v>
      </c>
      <c r="AN14" s="6">
        <f t="shared" si="11"/>
        <v>100</v>
      </c>
      <c r="AO14" s="10" t="str">
        <f t="shared" si="15"/>
        <v>Eligible</v>
      </c>
    </row>
    <row r="15" spans="1:41" x14ac:dyDescent="0.25">
      <c r="A15" s="5">
        <f>IF(ISBLANK(B15),"",MAX(A$2:$A14)+1)</f>
        <v>9</v>
      </c>
      <c r="B15" s="5" t="s">
        <v>20</v>
      </c>
      <c r="C15" s="7" t="s">
        <v>21</v>
      </c>
      <c r="D15" s="4" t="s">
        <v>5</v>
      </c>
      <c r="E15" s="12"/>
      <c r="F15" s="4" t="s">
        <v>24</v>
      </c>
      <c r="G15" s="4" t="s">
        <v>24</v>
      </c>
      <c r="H15" s="4" t="s">
        <v>5</v>
      </c>
      <c r="I15" s="4" t="s">
        <v>5</v>
      </c>
      <c r="J15" s="4" t="s">
        <v>5</v>
      </c>
      <c r="K15" s="4" t="s">
        <v>5</v>
      </c>
      <c r="L15" s="12"/>
      <c r="M15" s="4" t="s">
        <v>5</v>
      </c>
      <c r="N15" s="4" t="s">
        <v>5</v>
      </c>
      <c r="O15" s="4" t="s">
        <v>5</v>
      </c>
      <c r="P15" s="4" t="s">
        <v>5</v>
      </c>
      <c r="Q15" s="4" t="s">
        <v>24</v>
      </c>
      <c r="R15" s="4" t="s">
        <v>24</v>
      </c>
      <c r="S15" s="12"/>
      <c r="T15" s="4" t="s">
        <v>5</v>
      </c>
      <c r="U15" s="4" t="s">
        <v>5</v>
      </c>
      <c r="V15" s="4" t="s">
        <v>5</v>
      </c>
      <c r="W15" s="4" t="s">
        <v>5</v>
      </c>
      <c r="X15" s="4" t="s">
        <v>5</v>
      </c>
      <c r="Y15" s="4" t="s">
        <v>5</v>
      </c>
      <c r="Z15" s="12"/>
      <c r="AA15" s="4" t="s">
        <v>5</v>
      </c>
      <c r="AB15" s="4" t="s">
        <v>5</v>
      </c>
      <c r="AC15" s="4" t="s">
        <v>5</v>
      </c>
      <c r="AD15" s="4" t="s">
        <v>5</v>
      </c>
      <c r="AE15" s="4" t="s">
        <v>5</v>
      </c>
      <c r="AF15" s="4" t="s">
        <v>5</v>
      </c>
      <c r="AG15" s="12"/>
      <c r="AH15" s="4" t="s">
        <v>5</v>
      </c>
      <c r="AI15" s="8">
        <v>26</v>
      </c>
      <c r="AJ15" s="8">
        <f t="shared" si="12"/>
        <v>22</v>
      </c>
      <c r="AK15" s="8">
        <f t="shared" si="13"/>
        <v>4</v>
      </c>
      <c r="AL15" s="8">
        <f t="shared" si="10"/>
        <v>0</v>
      </c>
      <c r="AM15" s="9" t="str">
        <f t="shared" si="14"/>
        <v>Plz Contact</v>
      </c>
      <c r="AN15" s="6">
        <f t="shared" si="11"/>
        <v>84.615384615384613</v>
      </c>
      <c r="AO15" s="10" t="str">
        <f t="shared" si="15"/>
        <v>Eligible</v>
      </c>
    </row>
    <row r="16" spans="1:41" x14ac:dyDescent="0.25">
      <c r="A16" s="5">
        <f>IF(ISBLANK(B16),"",MAX(A$2:$A15)+1)</f>
        <v>10</v>
      </c>
      <c r="B16" s="5" t="s">
        <v>22</v>
      </c>
      <c r="C16" s="7" t="s">
        <v>23</v>
      </c>
      <c r="D16" s="4" t="s">
        <v>5</v>
      </c>
      <c r="E16" s="12"/>
      <c r="F16" s="4" t="s">
        <v>24</v>
      </c>
      <c r="G16" s="4" t="s">
        <v>5</v>
      </c>
      <c r="H16" s="4" t="s">
        <v>24</v>
      </c>
      <c r="I16" s="4" t="s">
        <v>5</v>
      </c>
      <c r="J16" s="4" t="s">
        <v>5</v>
      </c>
      <c r="K16" s="4" t="s">
        <v>5</v>
      </c>
      <c r="L16" s="12"/>
      <c r="M16" s="4" t="s">
        <v>5</v>
      </c>
      <c r="N16" s="4" t="s">
        <v>5</v>
      </c>
      <c r="O16" s="4" t="s">
        <v>5</v>
      </c>
      <c r="P16" s="4" t="s">
        <v>5</v>
      </c>
      <c r="Q16" s="4" t="s">
        <v>5</v>
      </c>
      <c r="R16" s="4" t="s">
        <v>24</v>
      </c>
      <c r="S16" s="12"/>
      <c r="T16" s="4" t="s">
        <v>5</v>
      </c>
      <c r="U16" s="4" t="s">
        <v>5</v>
      </c>
      <c r="V16" s="4" t="s">
        <v>5</v>
      </c>
      <c r="W16" s="4" t="s">
        <v>5</v>
      </c>
      <c r="X16" s="4" t="s">
        <v>5</v>
      </c>
      <c r="Y16" s="4" t="s">
        <v>5</v>
      </c>
      <c r="Z16" s="12"/>
      <c r="AA16" s="4" t="s">
        <v>5</v>
      </c>
      <c r="AB16" s="4" t="s">
        <v>5</v>
      </c>
      <c r="AC16" s="4" t="s">
        <v>5</v>
      </c>
      <c r="AD16" s="4" t="s">
        <v>5</v>
      </c>
      <c r="AE16" s="4" t="s">
        <v>5</v>
      </c>
      <c r="AF16" s="4" t="s">
        <v>5</v>
      </c>
      <c r="AG16" s="12"/>
      <c r="AH16" s="4" t="s">
        <v>5</v>
      </c>
      <c r="AI16" s="8">
        <v>26</v>
      </c>
      <c r="AJ16" s="8">
        <f t="shared" si="12"/>
        <v>23</v>
      </c>
      <c r="AK16" s="8">
        <f t="shared" si="13"/>
        <v>3</v>
      </c>
      <c r="AL16" s="8">
        <f t="shared" si="10"/>
        <v>0</v>
      </c>
      <c r="AM16" s="9" t="str">
        <f t="shared" si="14"/>
        <v>Be Punctual</v>
      </c>
      <c r="AN16" s="6">
        <f t="shared" si="11"/>
        <v>88.461538461538467</v>
      </c>
      <c r="AO16" s="10" t="str">
        <f t="shared" si="15"/>
        <v>Eligible</v>
      </c>
    </row>
  </sheetData>
  <mergeCells count="3">
    <mergeCell ref="A5:A6"/>
    <mergeCell ref="B5:B6"/>
    <mergeCell ref="C5:C6"/>
  </mergeCells>
  <conditionalFormatting sqref="D5:AF16">
    <cfRule type="expression" dxfId="5" priority="8">
      <formula>OR(WEEKDAY(#REF!,2)&gt;6)</formula>
    </cfRule>
  </conditionalFormatting>
  <conditionalFormatting sqref="D5:AH16">
    <cfRule type="expression" priority="1">
      <formula>IF(weekday,(I6&gt;6))</formula>
    </cfRule>
  </conditionalFormatting>
  <conditionalFormatting sqref="D7:AH16">
    <cfRule type="expression" priority="6">
      <formula>OR(WEEKDAY(#REF!,2)&gt;5)</formula>
    </cfRule>
    <cfRule type="expression" dxfId="4" priority="7">
      <formula>OR(WEEKDAY(#REF!,2)&gt;5)</formula>
    </cfRule>
    <cfRule type="containsText" dxfId="3" priority="9" operator="containsText" text="a">
      <formula>NOT(ISERROR(SEARCH("a",D7)))</formula>
    </cfRule>
    <cfRule type="containsText" dxfId="2" priority="10" operator="containsText" text="L">
      <formula>NOT(ISERROR(SEARCH("L",D7)))</formula>
    </cfRule>
    <cfRule type="containsText" dxfId="1" priority="11" operator="containsText" text="L">
      <formula>NOT(ISERROR(SEARCH("L",D7)))</formula>
    </cfRule>
    <cfRule type="containsText" dxfId="0" priority="12" operator="containsText" text="p">
      <formula>NOT(ISERROR(SEARCH("p",D7)))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umarghjkh gjgdsssas</dc:creator>
  <cp:lastModifiedBy>umarghjkh gjgdsssas</cp:lastModifiedBy>
  <dcterms:created xsi:type="dcterms:W3CDTF">2025-10-07T13:48:53Z</dcterms:created>
  <dcterms:modified xsi:type="dcterms:W3CDTF">2025-10-09T07:31:19Z</dcterms:modified>
</cp:coreProperties>
</file>