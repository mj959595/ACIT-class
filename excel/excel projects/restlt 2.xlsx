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513c62448dfae4/Desktop/"/>
    </mc:Choice>
  </mc:AlternateContent>
  <xr:revisionPtr revIDLastSave="5" documentId="8_{AB9C4956-CFF0-41D1-8F9E-8C3B17423B6E}" xr6:coauthVersionLast="47" xr6:coauthVersionMax="47" xr10:uidLastSave="{72FD3529-3853-4367-8CEB-9B90FD0F1885}"/>
  <workbookProtection workbookAlgorithmName="SHA-512" workbookHashValue="qAanyvC+Yk6FjDOQNnS7osVR9m0h/K+kry/lKk7VPV5zG3eYMa7+KkZWqd2HGPXXxHKF+vpfOIQZzSQjDO0+1A==" workbookSaltValue="YyZ4yWMtQOB/pu42bZrOEQ==" workbookSpinCount="100000" lockStructure="1"/>
  <bookViews>
    <workbookView xWindow="-120" yWindow="-120" windowWidth="20730" windowHeight="11040" activeTab="2" xr2:uid="{4EDDEC2C-744D-4EB5-B1B2-46C5AA0D8C03}"/>
  </bookViews>
  <sheets>
    <sheet name="Sheet2" sheetId="2" r:id="rId1"/>
    <sheet name="Sheet3" sheetId="3" r:id="rId2"/>
    <sheet name="Sheet4" sheetId="5" r:id="rId3"/>
    <sheet name="Sheet1" sheetId="4" r:id="rId4"/>
  </sheets>
  <definedNames>
    <definedName name="_xlnm.Print_Titles" localSheetId="2">Sheet4!$3:$3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5" l="1"/>
  <c r="G57" i="5"/>
  <c r="K57" i="5" s="1"/>
  <c r="G56" i="5"/>
  <c r="K56" i="5" s="1"/>
  <c r="G55" i="5"/>
  <c r="K55" i="5" s="1"/>
  <c r="G54" i="5"/>
  <c r="K54" i="5" s="1"/>
  <c r="G53" i="5"/>
  <c r="K53" i="5" s="1"/>
  <c r="G52" i="5"/>
  <c r="K52" i="5" s="1"/>
  <c r="G51" i="5"/>
  <c r="K51" i="5" s="1"/>
  <c r="G50" i="5"/>
  <c r="K50" i="5" s="1"/>
  <c r="G49" i="5"/>
  <c r="K49" i="5" s="1"/>
  <c r="G48" i="5"/>
  <c r="K48" i="5" s="1"/>
  <c r="G46" i="5"/>
  <c r="K46" i="5" s="1"/>
  <c r="G45" i="5"/>
  <c r="K45" i="5" s="1"/>
  <c r="G44" i="5"/>
  <c r="K44" i="5" s="1"/>
  <c r="G43" i="5"/>
  <c r="K43" i="5" s="1"/>
  <c r="G42" i="5"/>
  <c r="K42" i="5" s="1"/>
  <c r="G41" i="5"/>
  <c r="K41" i="5" s="1"/>
  <c r="G40" i="5"/>
  <c r="K40" i="5" s="1"/>
  <c r="G39" i="5"/>
  <c r="K39" i="5" s="1"/>
  <c r="G38" i="5"/>
  <c r="K38" i="5" s="1"/>
  <c r="G37" i="5"/>
  <c r="K37" i="5" s="1"/>
  <c r="G35" i="5"/>
  <c r="K35" i="5" s="1"/>
  <c r="G34" i="5"/>
  <c r="K34" i="5" s="1"/>
  <c r="G33" i="5"/>
  <c r="K33" i="5" s="1"/>
  <c r="G32" i="5"/>
  <c r="K32" i="5" s="1"/>
  <c r="G31" i="5"/>
  <c r="K31" i="5" s="1"/>
  <c r="G30" i="5"/>
  <c r="K30" i="5" s="1"/>
  <c r="G29" i="5"/>
  <c r="K29" i="5" s="1"/>
  <c r="G28" i="5"/>
  <c r="K28" i="5" s="1"/>
  <c r="G27" i="5"/>
  <c r="K27" i="5" s="1"/>
  <c r="G26" i="5"/>
  <c r="K26" i="5" s="1"/>
  <c r="G24" i="5"/>
  <c r="K24" i="5" s="1"/>
  <c r="G23" i="5"/>
  <c r="K23" i="5" s="1"/>
  <c r="G22" i="5"/>
  <c r="K22" i="5" s="1"/>
  <c r="G21" i="5"/>
  <c r="K21" i="5" s="1"/>
  <c r="G20" i="5"/>
  <c r="K20" i="5" s="1"/>
  <c r="G19" i="5"/>
  <c r="K19" i="5" s="1"/>
  <c r="G18" i="5"/>
  <c r="K18" i="5" s="1"/>
  <c r="G17" i="5"/>
  <c r="K17" i="5" s="1"/>
  <c r="G16" i="5"/>
  <c r="K16" i="5" s="1"/>
  <c r="G15" i="5"/>
  <c r="K15" i="5" s="1"/>
  <c r="M8" i="4"/>
  <c r="M7" i="4"/>
  <c r="M6" i="4"/>
  <c r="M5" i="4"/>
  <c r="J16" i="5" l="1"/>
  <c r="J18" i="5"/>
  <c r="J20" i="5"/>
  <c r="J22" i="5"/>
  <c r="J24" i="5"/>
  <c r="J15" i="5"/>
  <c r="J17" i="5"/>
  <c r="J19" i="5"/>
  <c r="J21" i="5"/>
  <c r="J23" i="5"/>
  <c r="H48" i="5"/>
  <c r="H49" i="5"/>
  <c r="H50" i="5"/>
  <c r="H51" i="5"/>
  <c r="H52" i="5"/>
  <c r="H53" i="5"/>
  <c r="H54" i="5"/>
  <c r="H55" i="5"/>
  <c r="H56" i="5"/>
  <c r="H57" i="5"/>
  <c r="J48" i="5"/>
  <c r="J49" i="5"/>
  <c r="J50" i="5"/>
  <c r="J51" i="5"/>
  <c r="J52" i="5"/>
  <c r="J53" i="5"/>
  <c r="J54" i="5"/>
  <c r="J55" i="5"/>
  <c r="J56" i="5"/>
  <c r="J57" i="5"/>
  <c r="H37" i="5"/>
  <c r="H38" i="5"/>
  <c r="H39" i="5"/>
  <c r="H40" i="5"/>
  <c r="H41" i="5"/>
  <c r="H42" i="5"/>
  <c r="H43" i="5"/>
  <c r="H44" i="5"/>
  <c r="H45" i="5"/>
  <c r="H46" i="5"/>
  <c r="J37" i="5"/>
  <c r="J38" i="5"/>
  <c r="J39" i="5"/>
  <c r="J40" i="5"/>
  <c r="J41" i="5"/>
  <c r="J42" i="5"/>
  <c r="J43" i="5"/>
  <c r="J44" i="5"/>
  <c r="J45" i="5"/>
  <c r="J46" i="5"/>
  <c r="H26" i="5"/>
  <c r="H27" i="5"/>
  <c r="H28" i="5"/>
  <c r="H29" i="5"/>
  <c r="H30" i="5"/>
  <c r="H31" i="5"/>
  <c r="H32" i="5"/>
  <c r="H33" i="5"/>
  <c r="H34" i="5"/>
  <c r="H35" i="5"/>
  <c r="J35" i="5"/>
  <c r="J26" i="5"/>
  <c r="J27" i="5"/>
  <c r="J28" i="5"/>
  <c r="J29" i="5"/>
  <c r="J30" i="5"/>
  <c r="J31" i="5"/>
  <c r="J32" i="5"/>
  <c r="J33" i="5"/>
  <c r="J34" i="5"/>
  <c r="H15" i="5"/>
  <c r="H16" i="5"/>
  <c r="H17" i="5"/>
  <c r="H18" i="5"/>
  <c r="H19" i="5"/>
  <c r="H20" i="5"/>
  <c r="H21" i="5"/>
  <c r="H22" i="5"/>
  <c r="H23" i="5"/>
  <c r="H24" i="5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4" i="4"/>
  <c r="G5" i="5"/>
  <c r="J5" i="5" s="1"/>
  <c r="G6" i="5"/>
  <c r="K6" i="5" s="1"/>
  <c r="G7" i="5"/>
  <c r="H7" i="5" s="1"/>
  <c r="G8" i="5"/>
  <c r="K8" i="5" s="1"/>
  <c r="G9" i="5"/>
  <c r="J9" i="5" s="1"/>
  <c r="G10" i="5"/>
  <c r="H10" i="5" s="1"/>
  <c r="G11" i="5"/>
  <c r="K11" i="5" s="1"/>
  <c r="G12" i="5"/>
  <c r="H12" i="5" s="1"/>
  <c r="G13" i="5"/>
  <c r="J13" i="5" s="1"/>
  <c r="G4" i="5"/>
  <c r="K4" i="5" s="1"/>
  <c r="BC25" i="2"/>
  <c r="BB26" i="2"/>
  <c r="BB27" i="2"/>
  <c r="BB28" i="2"/>
  <c r="BB29" i="2"/>
  <c r="BB30" i="2"/>
  <c r="BB31" i="2"/>
  <c r="BB32" i="2"/>
  <c r="BB33" i="2"/>
  <c r="BB34" i="2"/>
  <c r="BB35" i="2"/>
  <c r="BB25" i="2"/>
  <c r="AK5" i="2"/>
  <c r="AK6" i="2"/>
  <c r="AK7" i="2"/>
  <c r="AK8" i="2"/>
  <c r="AK9" i="2"/>
  <c r="AK10" i="2"/>
  <c r="AK11" i="2"/>
  <c r="AK12" i="2"/>
  <c r="AK13" i="2"/>
  <c r="AK14" i="2"/>
  <c r="AJ6" i="2"/>
  <c r="AJ7" i="2"/>
  <c r="AJ8" i="2"/>
  <c r="AJ9" i="2"/>
  <c r="AJ10" i="2"/>
  <c r="AJ11" i="2"/>
  <c r="AJ12" i="2"/>
  <c r="AJ13" i="2"/>
  <c r="AJ14" i="2"/>
  <c r="AJ5" i="2"/>
  <c r="H13" i="5" l="1"/>
  <c r="K9" i="5"/>
  <c r="K13" i="5"/>
  <c r="K5" i="5"/>
  <c r="H8" i="5"/>
  <c r="K12" i="5"/>
  <c r="J12" i="5"/>
  <c r="J8" i="5"/>
  <c r="J7" i="5"/>
  <c r="H11" i="5"/>
  <c r="H6" i="5"/>
  <c r="J11" i="5"/>
  <c r="J6" i="5"/>
  <c r="K7" i="5"/>
  <c r="H4" i="5"/>
  <c r="H9" i="5"/>
  <c r="J4" i="5"/>
  <c r="K10" i="5"/>
  <c r="J10" i="5"/>
  <c r="H5" i="5"/>
  <c r="N8" i="5" s="1"/>
</calcChain>
</file>

<file path=xl/sharedStrings.xml><?xml version="1.0" encoding="utf-8"?>
<sst xmlns="http://schemas.openxmlformats.org/spreadsheetml/2006/main" count="371" uniqueCount="93">
  <si>
    <t>names</t>
  </si>
  <si>
    <t xml:space="preserve">serial </t>
  </si>
  <si>
    <t>class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</si>
  <si>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</si>
  <si>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</si>
  <si>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</si>
  <si>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</si>
  <si>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</si>
  <si>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</si>
  <si>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</si>
  <si>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</si>
  <si>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</si>
  <si>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</si>
  <si>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acit</t>
  </si>
  <si>
    <t>mon</t>
  </si>
  <si>
    <t>tue</t>
  </si>
  <si>
    <t>wed</t>
  </si>
  <si>
    <t>thu</t>
  </si>
  <si>
    <t>fri</t>
  </si>
  <si>
    <t>sat</t>
  </si>
  <si>
    <t>sun</t>
  </si>
  <si>
    <t>H</t>
  </si>
  <si>
    <t>Attandance sheet</t>
  </si>
  <si>
    <t>Present</t>
  </si>
  <si>
    <t>Absents</t>
  </si>
  <si>
    <t>P</t>
  </si>
  <si>
    <t>A</t>
  </si>
  <si>
    <t>employ</t>
  </si>
  <si>
    <t>salary</t>
  </si>
  <si>
    <t>employ 1</t>
  </si>
  <si>
    <t>employ 2</t>
  </si>
  <si>
    <t>employ 3</t>
  </si>
  <si>
    <t>employ 4</t>
  </si>
  <si>
    <t>employ 5</t>
  </si>
  <si>
    <t>employ 6</t>
  </si>
  <si>
    <t>employ 7</t>
  </si>
  <si>
    <t>employ 8</t>
  </si>
  <si>
    <t>employ 9</t>
  </si>
  <si>
    <t>employ 10</t>
  </si>
  <si>
    <t>employ 11</t>
  </si>
  <si>
    <t>employ 12</t>
  </si>
  <si>
    <t>employ 13</t>
  </si>
  <si>
    <t>employ 14</t>
  </si>
  <si>
    <t>employ 15</t>
  </si>
  <si>
    <t>employes &gt;20000</t>
  </si>
  <si>
    <t>&gt;60000</t>
  </si>
  <si>
    <t>&gt;80000</t>
  </si>
  <si>
    <t>3 grade</t>
  </si>
  <si>
    <t>2 grade</t>
  </si>
  <si>
    <t>1 grade</t>
  </si>
  <si>
    <t>grades</t>
  </si>
  <si>
    <t>SNO</t>
  </si>
  <si>
    <t>NAMES</t>
  </si>
  <si>
    <t>CLASS</t>
  </si>
  <si>
    <t>ATTANDANCE SHEET</t>
  </si>
  <si>
    <t>MON</t>
  </si>
  <si>
    <t>TUE</t>
  </si>
  <si>
    <t>WED</t>
  </si>
  <si>
    <t>THU</t>
  </si>
  <si>
    <t>FRI</t>
  </si>
  <si>
    <t>SAT</t>
  </si>
  <si>
    <t>SUN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</si>
  <si>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</si>
  <si>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</si>
  <si>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</si>
  <si>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</si>
  <si>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</si>
  <si>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</si>
  <si>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</si>
  <si>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</si>
  <si>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</si>
  <si>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</si>
  <si>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$</t>
  </si>
  <si>
    <t>PRESENT</t>
  </si>
  <si>
    <t>ABSENT</t>
  </si>
  <si>
    <t>ACIT</t>
  </si>
  <si>
    <t>MARKS 1</t>
  </si>
  <si>
    <t>MARKS 2</t>
  </si>
  <si>
    <t>MARKS 3</t>
  </si>
  <si>
    <t>TOTAL</t>
  </si>
  <si>
    <t>PERCENTAGE</t>
  </si>
  <si>
    <t>PASS/FAIL</t>
  </si>
  <si>
    <t>DYNAMIC</t>
  </si>
  <si>
    <t xml:space="preserve">             DIVISION</t>
  </si>
  <si>
    <t>150&lt; 3RD</t>
  </si>
  <si>
    <t>250&lt; 2ND</t>
  </si>
  <si>
    <t>300&lt;1ST</t>
  </si>
  <si>
    <t>sales</t>
  </si>
  <si>
    <t>profit</t>
  </si>
  <si>
    <t>Sum of sales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</si>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</sst>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6" fontId="0" fillId="0" borderId="1" xfId="0" applyNumberFormat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" fontId="0" fillId="0" borderId="1" xfId="0" applyNumberFormat="1" applyBorder="1"/>
    <xf numFmtId="16" fontId="0" fillId="4" borderId="1" xfId="0" applyNumberFormat="1" applyFill="1" applyBorder="1"/>
    <xf numFmtId="0" fontId="0" fillId="4" borderId="1" xfId="0" applyFill="1" applyBorder="1"/>
    <xf numFmtId="1" fontId="0" fillId="0" borderId="1" xfId="0" applyNumberFormat="1" applyBorder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4" fillId="0" borderId="1" xfId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14.761408217593" createdVersion="8" refreshedVersion="8" minRefreshableVersion="3" recordCount="15" xr:uid="{9D98DFBB-A1BD-47BF-A88A-CEE92664DE2C}">
  <cacheSource type="worksheet">
    <worksheetSource ref="F3:J18" sheet="Sheet1"/>
  </cacheSource>
  <cacheFields count="5">
    <cacheField name="employes" numFmtId="0">
      <sharedItems count="15">
        <s v="employ 1"/>
        <s v="employ 2"/>
        <s v="employ 3"/>
        <s v="employ 4"/>
        <s v="employ 5"/>
        <s v="employ 6"/>
        <s v="employ 7"/>
        <s v="employ 8"/>
        <s v="employ 9"/>
        <s v="employ 10"/>
        <s v="employ 11"/>
        <s v="employ 12"/>
        <s v="employ 13"/>
        <s v="employ 14"/>
        <s v="employ 15"/>
      </sharedItems>
    </cacheField>
    <cacheField name="items" numFmtId="0">
      <sharedItems count="5">
        <s v="monitor"/>
        <s v="ram"/>
        <s v="keyboards"/>
        <s v="mouse"/>
        <s v="speakers"/>
      </sharedItems>
    </cacheField>
    <cacheField name="price" numFmtId="0">
      <sharedItems containsSemiMixedTypes="0" containsString="0" containsNumber="1" containsInteger="1" minValue="100" maxValue="300"/>
    </cacheField>
    <cacheField name="sales" numFmtId="0">
      <sharedItems containsSemiMixedTypes="0" containsString="0" containsNumber="1" containsInteger="1" minValue="3" maxValue="17" count="15"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</sharedItems>
    </cacheField>
    <cacheField name="profit" numFmtId="0">
      <sharedItems containsSemiMixedTypes="0" containsString="0" containsNumber="1" containsInteger="1" minValue="300" maxValue="5100" count="14">
        <n v="300"/>
        <n v="600"/>
        <n v="1000"/>
        <n v="1500"/>
        <n v="2100"/>
        <n v="800"/>
        <n v="1350"/>
        <n v="2000"/>
        <n v="2750"/>
        <n v="3600"/>
        <n v="1300"/>
        <n v="3000"/>
        <n v="4000"/>
        <n v="5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100"/>
    <x v="0"/>
    <x v="0"/>
  </r>
  <r>
    <x v="1"/>
    <x v="1"/>
    <n v="150"/>
    <x v="1"/>
    <x v="1"/>
  </r>
  <r>
    <x v="2"/>
    <x v="2"/>
    <n v="200"/>
    <x v="2"/>
    <x v="2"/>
  </r>
  <r>
    <x v="3"/>
    <x v="3"/>
    <n v="250"/>
    <x v="3"/>
    <x v="3"/>
  </r>
  <r>
    <x v="4"/>
    <x v="4"/>
    <n v="300"/>
    <x v="4"/>
    <x v="4"/>
  </r>
  <r>
    <x v="5"/>
    <x v="0"/>
    <n v="100"/>
    <x v="5"/>
    <x v="5"/>
  </r>
  <r>
    <x v="6"/>
    <x v="1"/>
    <n v="150"/>
    <x v="6"/>
    <x v="6"/>
  </r>
  <r>
    <x v="7"/>
    <x v="2"/>
    <n v="200"/>
    <x v="7"/>
    <x v="7"/>
  </r>
  <r>
    <x v="8"/>
    <x v="3"/>
    <n v="250"/>
    <x v="8"/>
    <x v="8"/>
  </r>
  <r>
    <x v="9"/>
    <x v="4"/>
    <n v="300"/>
    <x v="9"/>
    <x v="9"/>
  </r>
  <r>
    <x v="10"/>
    <x v="0"/>
    <n v="100"/>
    <x v="10"/>
    <x v="10"/>
  </r>
  <r>
    <x v="11"/>
    <x v="1"/>
    <n v="150"/>
    <x v="11"/>
    <x v="4"/>
  </r>
  <r>
    <x v="12"/>
    <x v="2"/>
    <n v="200"/>
    <x v="12"/>
    <x v="11"/>
  </r>
  <r>
    <x v="13"/>
    <x v="3"/>
    <n v="250"/>
    <x v="13"/>
    <x v="12"/>
  </r>
  <r>
    <x v="14"/>
    <x v="4"/>
    <n v="300"/>
    <x v="14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8EBC6-4F6A-45E8-B6C2-CAF865A4C3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9" firstHeaderRow="1" firstDataRow="1" firstDataCol="1" rowPageCount="1" colPageCount="1"/>
  <pivotFields count="5">
    <pivotField axis="axisRow" showAll="0">
      <items count="16">
        <item x="0"/>
        <item x="9"/>
        <item x="10"/>
        <item x="11"/>
        <item x="12"/>
        <item x="13"/>
        <item x="14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/>
    <pivotField axis="axisPage"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5">
        <item x="0"/>
        <item x="1"/>
        <item x="5"/>
        <item x="2"/>
        <item x="10"/>
        <item x="6"/>
        <item x="3"/>
        <item x="7"/>
        <item x="4"/>
        <item x="8"/>
        <item x="11"/>
        <item x="9"/>
        <item x="12"/>
        <item x="13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4EEAFA-7CD3-4034-B3F2-19EE577652A2}">
  <we:reference id="wa104051163" version="1.2.0.3" store="en-US" storeType="OMEX"/>
  <we:alternateReferences>
    <we:reference id="WA104051163" version="1.2.0.3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Computers" TargetMode="External"/><Relationship Id="rId3" Type="http://schemas.openxmlformats.org/officeDocument/2006/relationships/hyperlink" Target="file:///C:\Users\Admin\OneDrive\Desktop\acit%20class\ACIT%20new.pdf" TargetMode="External"/><Relationship Id="rId7" Type="http://schemas.openxmlformats.org/officeDocument/2006/relationships/hyperlink" Target="file:///C:\Users\Admin\OneDrive\Desktop\acit%20class\ACIT%20new.pdf" TargetMode="External"/><Relationship Id="rId2" Type="http://schemas.openxmlformats.org/officeDocument/2006/relationships/hyperlink" Target="https://en.wikipedia.org/wiki/Computers" TargetMode="External"/><Relationship Id="rId1" Type="http://schemas.openxmlformats.org/officeDocument/2006/relationships/hyperlink" Target="file:///C:\Users\Admin\OneDrive\Desktop\acit%20class\ACIT%20new.pdf" TargetMode="External"/><Relationship Id="rId6" Type="http://schemas.openxmlformats.org/officeDocument/2006/relationships/hyperlink" Target="https://en.wikipedia.org/wiki/Computers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file:///C:\Users\Admin\OneDrive\Desktop\acit%20class\ACIT%20new.pdf" TargetMode="External"/><Relationship Id="rId10" Type="http://schemas.openxmlformats.org/officeDocument/2006/relationships/hyperlink" Target="https://en.wikipedia.org/wiki/Computers" TargetMode="External"/><Relationship Id="rId4" Type="http://schemas.openxmlformats.org/officeDocument/2006/relationships/hyperlink" Target="https://en.wikipedia.org/wiki/Computers" TargetMode="External"/><Relationship Id="rId9" Type="http://schemas.openxmlformats.org/officeDocument/2006/relationships/hyperlink" Target="file:///C:\Users\Admin\OneDrive\Desktop\acit%20class\ACIT%20new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5A49-7092-45F6-9429-792D14EB6453}">
  <dimension ref="B1:BC35"/>
  <sheetViews>
    <sheetView topLeftCell="AB19" workbookViewId="0">
      <selection activeCell="BB25" sqref="BB25"/>
    </sheetView>
  </sheetViews>
  <sheetFormatPr defaultRowHeight="15" x14ac:dyDescent="0.25"/>
  <cols>
    <col min="20" max="20" width="4.85546875" bestFit="1" customWidth="1"/>
    <col min="21" max="21" width="11.42578125" bestFit="1" customWidth="1"/>
    <col min="22" max="22" width="6.28515625" bestFit="1" customWidth="1"/>
    <col min="23" max="31" width="6" bestFit="1" customWidth="1"/>
    <col min="32" max="53" width="7" bestFit="1" customWidth="1"/>
  </cols>
  <sheetData>
    <row r="1" spans="2:37" x14ac:dyDescent="0.25">
      <c r="B1" s="17" t="s">
        <v>22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2:37" x14ac:dyDescent="0.25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 spans="2:37" x14ac:dyDescent="0.25">
      <c r="B3" s="4"/>
      <c r="C3" s="4"/>
      <c r="D3" s="4"/>
      <c r="E3" s="2">
        <v>45992</v>
      </c>
      <c r="F3" s="2">
        <v>45993</v>
      </c>
      <c r="G3" s="2">
        <v>45994</v>
      </c>
      <c r="H3" s="2">
        <v>45995</v>
      </c>
      <c r="I3" s="2">
        <v>45996</v>
      </c>
      <c r="J3" s="3">
        <v>45997</v>
      </c>
      <c r="K3" s="3">
        <v>45998</v>
      </c>
      <c r="L3" s="2">
        <v>45999</v>
      </c>
      <c r="M3" s="2">
        <v>46000</v>
      </c>
      <c r="N3" s="2">
        <v>46001</v>
      </c>
      <c r="O3" s="2">
        <v>46002</v>
      </c>
      <c r="P3" s="2">
        <v>46003</v>
      </c>
      <c r="Q3" s="2">
        <v>46004</v>
      </c>
      <c r="R3" s="3">
        <v>46005</v>
      </c>
      <c r="S3" s="2">
        <v>46006</v>
      </c>
      <c r="T3" s="2">
        <v>46007</v>
      </c>
      <c r="U3" s="2">
        <v>46008</v>
      </c>
      <c r="V3" s="2">
        <v>46009</v>
      </c>
      <c r="W3" s="2">
        <v>46010</v>
      </c>
      <c r="X3" s="2">
        <v>46011</v>
      </c>
      <c r="Y3" s="3">
        <v>46012</v>
      </c>
      <c r="Z3" s="2">
        <v>46013</v>
      </c>
      <c r="AA3" s="2">
        <v>46014</v>
      </c>
      <c r="AB3" s="2">
        <v>46015</v>
      </c>
      <c r="AC3" s="2">
        <v>46016</v>
      </c>
      <c r="AD3" s="2">
        <v>46017</v>
      </c>
      <c r="AE3" s="2">
        <v>46018</v>
      </c>
      <c r="AF3" s="3">
        <v>46019</v>
      </c>
      <c r="AG3" s="2">
        <v>46020</v>
      </c>
      <c r="AH3" s="2">
        <v>46021</v>
      </c>
      <c r="AI3" s="2">
        <v>46022</v>
      </c>
    </row>
    <row r="4" spans="2:37" x14ac:dyDescent="0.25">
      <c r="B4" s="4" t="s">
        <v>1</v>
      </c>
      <c r="C4" s="4" t="s">
        <v>0</v>
      </c>
      <c r="D4" s="4" t="s">
        <v>2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3" t="s">
        <v>19</v>
      </c>
      <c r="K4" s="3" t="s">
        <v>20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3" t="s">
        <v>20</v>
      </c>
      <c r="S4" s="2" t="s">
        <v>14</v>
      </c>
      <c r="T4" s="2" t="s">
        <v>15</v>
      </c>
      <c r="U4" s="2" t="s">
        <v>16</v>
      </c>
      <c r="V4" s="2" t="s">
        <v>17</v>
      </c>
      <c r="W4" s="2" t="s">
        <v>18</v>
      </c>
      <c r="X4" s="2" t="s">
        <v>19</v>
      </c>
      <c r="Y4" s="3" t="s">
        <v>20</v>
      </c>
      <c r="Z4" s="2" t="s">
        <v>14</v>
      </c>
      <c r="AA4" s="2" t="s">
        <v>15</v>
      </c>
      <c r="AB4" s="2" t="s">
        <v>16</v>
      </c>
      <c r="AC4" s="2" t="s">
        <v>17</v>
      </c>
      <c r="AD4" s="2" t="s">
        <v>18</v>
      </c>
      <c r="AE4" s="2" t="s">
        <v>19</v>
      </c>
      <c r="AF4" s="3" t="s">
        <v>20</v>
      </c>
      <c r="AG4" s="2" t="s">
        <v>14</v>
      </c>
      <c r="AH4" s="2" t="s">
        <v>15</v>
      </c>
      <c r="AI4" s="2" t="s">
        <v>16</v>
      </c>
      <c r="AJ4" s="2" t="s">
        <v>23</v>
      </c>
      <c r="AK4" s="2" t="s">
        <v>24</v>
      </c>
    </row>
    <row r="5" spans="2:37" x14ac:dyDescent="0.25">
      <c r="B5" s="4">
        <v>1</v>
      </c>
      <c r="C5" s="4" t="s">
        <v>3</v>
      </c>
      <c r="D5" s="4" t="s">
        <v>13</v>
      </c>
      <c r="E5" s="4" t="s">
        <v>25</v>
      </c>
      <c r="F5" s="4" t="s">
        <v>26</v>
      </c>
      <c r="G5" s="4" t="s">
        <v>25</v>
      </c>
      <c r="H5" s="4" t="s">
        <v>25</v>
      </c>
      <c r="I5" s="4" t="s">
        <v>26</v>
      </c>
      <c r="J5" s="5" t="s">
        <v>21</v>
      </c>
      <c r="K5" s="5" t="s">
        <v>21</v>
      </c>
      <c r="L5" s="4" t="s">
        <v>25</v>
      </c>
      <c r="M5" s="4" t="s">
        <v>26</v>
      </c>
      <c r="N5" s="4" t="s">
        <v>26</v>
      </c>
      <c r="O5" s="4" t="s">
        <v>25</v>
      </c>
      <c r="P5" s="4" t="s">
        <v>26</v>
      </c>
      <c r="Q5" s="4"/>
      <c r="R5" s="5" t="s">
        <v>21</v>
      </c>
      <c r="S5" s="4"/>
      <c r="T5" s="4"/>
      <c r="U5" s="4"/>
      <c r="V5" s="4"/>
      <c r="W5" s="4"/>
      <c r="X5" s="4"/>
      <c r="Y5" s="5" t="s">
        <v>21</v>
      </c>
      <c r="Z5" s="4"/>
      <c r="AA5" s="4"/>
      <c r="AB5" s="4"/>
      <c r="AC5" s="4"/>
      <c r="AD5" s="4"/>
      <c r="AE5" s="4"/>
      <c r="AF5" s="5" t="s">
        <v>21</v>
      </c>
      <c r="AG5" s="4"/>
      <c r="AH5" s="4"/>
      <c r="AI5" s="4"/>
      <c r="AJ5" s="1">
        <f>COUNTIF(E5:AI5,"P")</f>
        <v>5</v>
      </c>
      <c r="AK5" s="1">
        <f>COUNTIF(E5:AI5,"A")</f>
        <v>5</v>
      </c>
    </row>
    <row r="6" spans="2:37" x14ac:dyDescent="0.25">
      <c r="B6" s="4">
        <v>2</v>
      </c>
      <c r="C6" s="4" t="s">
        <v>4</v>
      </c>
      <c r="D6" s="4" t="s">
        <v>13</v>
      </c>
      <c r="E6" s="4" t="s">
        <v>26</v>
      </c>
      <c r="F6" s="4" t="s">
        <v>25</v>
      </c>
      <c r="G6" s="4" t="s">
        <v>25</v>
      </c>
      <c r="H6" s="4" t="s">
        <v>25</v>
      </c>
      <c r="I6" s="4" t="s">
        <v>26</v>
      </c>
      <c r="J6" s="5" t="s">
        <v>21</v>
      </c>
      <c r="K6" s="5" t="s">
        <v>21</v>
      </c>
      <c r="L6" s="4" t="s">
        <v>25</v>
      </c>
      <c r="M6" s="4" t="s">
        <v>26</v>
      </c>
      <c r="N6" s="4" t="s">
        <v>25</v>
      </c>
      <c r="O6" s="4" t="s">
        <v>26</v>
      </c>
      <c r="P6" s="4" t="s">
        <v>26</v>
      </c>
      <c r="Q6" s="4"/>
      <c r="R6" s="5" t="s">
        <v>21</v>
      </c>
      <c r="S6" s="4"/>
      <c r="T6" s="4"/>
      <c r="U6" s="4"/>
      <c r="V6" s="4"/>
      <c r="W6" s="4"/>
      <c r="X6" s="4"/>
      <c r="Y6" s="5" t="s">
        <v>21</v>
      </c>
      <c r="Z6" s="4"/>
      <c r="AA6" s="4"/>
      <c r="AB6" s="4"/>
      <c r="AC6" s="4"/>
      <c r="AD6" s="4"/>
      <c r="AE6" s="4"/>
      <c r="AF6" s="5" t="s">
        <v>21</v>
      </c>
      <c r="AG6" s="4"/>
      <c r="AH6" s="4"/>
      <c r="AI6" s="4"/>
      <c r="AJ6" s="1">
        <f t="shared" ref="AJ6:AJ14" si="0">COUNTIF(E6:AI6,"P")</f>
        <v>5</v>
      </c>
      <c r="AK6" s="1">
        <f t="shared" ref="AK6:AK14" si="1">COUNTIF(E6:AI6,"A")</f>
        <v>5</v>
      </c>
    </row>
    <row r="7" spans="2:37" x14ac:dyDescent="0.25">
      <c r="B7" s="4">
        <v>3</v>
      </c>
      <c r="C7" s="4" t="s">
        <v>5</v>
      </c>
      <c r="D7" s="4" t="s">
        <v>13</v>
      </c>
      <c r="E7" s="4"/>
      <c r="F7" s="4"/>
      <c r="G7" s="4"/>
      <c r="H7" s="4"/>
      <c r="I7" s="4"/>
      <c r="J7" s="5" t="s">
        <v>21</v>
      </c>
      <c r="K7" s="5" t="s">
        <v>21</v>
      </c>
      <c r="L7" s="4"/>
      <c r="M7" s="4"/>
      <c r="N7" s="4"/>
      <c r="O7" s="4"/>
      <c r="P7" s="4"/>
      <c r="Q7" s="4"/>
      <c r="R7" s="5" t="s">
        <v>21</v>
      </c>
      <c r="S7" s="4"/>
      <c r="T7" s="4"/>
      <c r="U7" s="4"/>
      <c r="V7" s="4"/>
      <c r="W7" s="4"/>
      <c r="X7" s="4"/>
      <c r="Y7" s="5" t="s">
        <v>21</v>
      </c>
      <c r="Z7" s="4"/>
      <c r="AA7" s="4"/>
      <c r="AB7" s="4"/>
      <c r="AC7" s="4"/>
      <c r="AD7" s="4"/>
      <c r="AE7" s="4"/>
      <c r="AF7" s="5" t="s">
        <v>21</v>
      </c>
      <c r="AG7" s="4"/>
      <c r="AH7" s="4"/>
      <c r="AI7" s="4"/>
      <c r="AJ7" s="1">
        <f t="shared" si="0"/>
        <v>0</v>
      </c>
      <c r="AK7" s="1">
        <f t="shared" si="1"/>
        <v>0</v>
      </c>
    </row>
    <row r="8" spans="2:37" x14ac:dyDescent="0.25">
      <c r="B8" s="4">
        <v>4</v>
      </c>
      <c r="C8" s="4" t="s">
        <v>6</v>
      </c>
      <c r="D8" s="4" t="s">
        <v>13</v>
      </c>
      <c r="E8" s="4"/>
      <c r="F8" s="4"/>
      <c r="G8" s="4"/>
      <c r="H8" s="4"/>
      <c r="I8" s="4"/>
      <c r="J8" s="5" t="s">
        <v>21</v>
      </c>
      <c r="K8" s="5" t="s">
        <v>21</v>
      </c>
      <c r="L8" s="4"/>
      <c r="M8" s="4"/>
      <c r="N8" s="4"/>
      <c r="O8" s="4"/>
      <c r="P8" s="4"/>
      <c r="Q8" s="4"/>
      <c r="R8" s="5" t="s">
        <v>21</v>
      </c>
      <c r="S8" s="4"/>
      <c r="T8" s="4"/>
      <c r="U8" s="4"/>
      <c r="V8" s="4"/>
      <c r="W8" s="4"/>
      <c r="X8" s="4"/>
      <c r="Y8" s="5" t="s">
        <v>21</v>
      </c>
      <c r="Z8" s="4"/>
      <c r="AA8" s="4"/>
      <c r="AB8" s="4"/>
      <c r="AC8" s="4"/>
      <c r="AD8" s="4"/>
      <c r="AE8" s="4"/>
      <c r="AF8" s="5" t="s">
        <v>21</v>
      </c>
      <c r="AG8" s="4"/>
      <c r="AH8" s="4"/>
      <c r="AI8" s="4"/>
      <c r="AJ8" s="1">
        <f t="shared" si="0"/>
        <v>0</v>
      </c>
      <c r="AK8" s="1">
        <f t="shared" si="1"/>
        <v>0</v>
      </c>
    </row>
    <row r="9" spans="2:37" x14ac:dyDescent="0.25">
      <c r="B9" s="4">
        <v>5</v>
      </c>
      <c r="C9" s="4" t="s">
        <v>7</v>
      </c>
      <c r="D9" s="4" t="s">
        <v>13</v>
      </c>
      <c r="E9" s="4"/>
      <c r="F9" s="4"/>
      <c r="G9" s="4"/>
      <c r="H9" s="4"/>
      <c r="I9" s="4"/>
      <c r="J9" s="5" t="s">
        <v>21</v>
      </c>
      <c r="K9" s="5" t="s">
        <v>21</v>
      </c>
      <c r="L9" s="4"/>
      <c r="M9" s="4"/>
      <c r="N9" s="4"/>
      <c r="O9" s="4"/>
      <c r="P9" s="4"/>
      <c r="Q9" s="4"/>
      <c r="R9" s="5" t="s">
        <v>21</v>
      </c>
      <c r="S9" s="4"/>
      <c r="T9" s="4"/>
      <c r="U9" s="4"/>
      <c r="V9" s="4"/>
      <c r="W9" s="4"/>
      <c r="X9" s="4"/>
      <c r="Y9" s="5" t="s">
        <v>21</v>
      </c>
      <c r="Z9" s="4"/>
      <c r="AA9" s="4"/>
      <c r="AB9" s="4"/>
      <c r="AC9" s="4"/>
      <c r="AD9" s="4"/>
      <c r="AE9" s="4"/>
      <c r="AF9" s="5" t="s">
        <v>21</v>
      </c>
      <c r="AG9" s="4"/>
      <c r="AH9" s="4"/>
      <c r="AI9" s="4"/>
      <c r="AJ9" s="1">
        <f t="shared" si="0"/>
        <v>0</v>
      </c>
      <c r="AK9" s="1">
        <f t="shared" si="1"/>
        <v>0</v>
      </c>
    </row>
    <row r="10" spans="2:37" x14ac:dyDescent="0.25">
      <c r="B10" s="4">
        <v>6</v>
      </c>
      <c r="C10" s="4" t="s">
        <v>8</v>
      </c>
      <c r="D10" s="4" t="s">
        <v>13</v>
      </c>
      <c r="E10" s="4"/>
      <c r="F10" s="4"/>
      <c r="G10" s="4"/>
      <c r="H10" s="4"/>
      <c r="I10" s="4"/>
      <c r="J10" s="5" t="s">
        <v>21</v>
      </c>
      <c r="K10" s="5" t="s">
        <v>21</v>
      </c>
      <c r="L10" s="4"/>
      <c r="M10" s="4"/>
      <c r="N10" s="4"/>
      <c r="O10" s="4"/>
      <c r="P10" s="4"/>
      <c r="Q10" s="4"/>
      <c r="R10" s="5" t="s">
        <v>21</v>
      </c>
      <c r="S10" s="4"/>
      <c r="T10" s="4"/>
      <c r="U10" s="4"/>
      <c r="V10" s="4"/>
      <c r="W10" s="4"/>
      <c r="X10" s="4"/>
      <c r="Y10" s="5" t="s">
        <v>21</v>
      </c>
      <c r="Z10" s="4"/>
      <c r="AA10" s="4"/>
      <c r="AB10" s="4"/>
      <c r="AC10" s="4"/>
      <c r="AD10" s="4"/>
      <c r="AE10" s="4"/>
      <c r="AF10" s="5" t="s">
        <v>21</v>
      </c>
      <c r="AG10" s="4"/>
      <c r="AH10" s="4"/>
      <c r="AI10" s="4"/>
      <c r="AJ10" s="1">
        <f t="shared" si="0"/>
        <v>0</v>
      </c>
      <c r="AK10" s="1">
        <f t="shared" si="1"/>
        <v>0</v>
      </c>
    </row>
    <row r="11" spans="2:37" x14ac:dyDescent="0.25">
      <c r="B11" s="4">
        <v>7</v>
      </c>
      <c r="C11" s="4" t="s">
        <v>9</v>
      </c>
      <c r="D11" s="4" t="s">
        <v>13</v>
      </c>
      <c r="E11" s="4"/>
      <c r="F11" s="4"/>
      <c r="G11" s="4"/>
      <c r="H11" s="4"/>
      <c r="I11" s="4"/>
      <c r="J11" s="5" t="s">
        <v>21</v>
      </c>
      <c r="K11" s="5" t="s">
        <v>21</v>
      </c>
      <c r="L11" s="4"/>
      <c r="M11" s="4"/>
      <c r="N11" s="4"/>
      <c r="O11" s="4"/>
      <c r="P11" s="4"/>
      <c r="Q11" s="4"/>
      <c r="R11" s="5" t="s">
        <v>21</v>
      </c>
      <c r="S11" s="4"/>
      <c r="T11" s="4"/>
      <c r="U11" s="4"/>
      <c r="V11" s="4"/>
      <c r="W11" s="4"/>
      <c r="X11" s="4"/>
      <c r="Y11" s="5" t="s">
        <v>21</v>
      </c>
      <c r="Z11" s="4"/>
      <c r="AA11" s="4"/>
      <c r="AB11" s="4"/>
      <c r="AC11" s="4"/>
      <c r="AD11" s="4"/>
      <c r="AE11" s="4"/>
      <c r="AF11" s="5" t="s">
        <v>21</v>
      </c>
      <c r="AG11" s="4"/>
      <c r="AH11" s="4"/>
      <c r="AI11" s="4"/>
      <c r="AJ11" s="1">
        <f t="shared" si="0"/>
        <v>0</v>
      </c>
      <c r="AK11" s="1">
        <f t="shared" si="1"/>
        <v>0</v>
      </c>
    </row>
    <row r="12" spans="2:37" x14ac:dyDescent="0.25">
      <c r="B12" s="4">
        <v>8</v>
      </c>
      <c r="C12" s="4" t="s">
        <v>10</v>
      </c>
      <c r="D12" s="4" t="s">
        <v>13</v>
      </c>
      <c r="E12" s="4"/>
      <c r="F12" s="4"/>
      <c r="G12" s="4"/>
      <c r="H12" s="4"/>
      <c r="I12" s="4"/>
      <c r="J12" s="5" t="s">
        <v>21</v>
      </c>
      <c r="K12" s="5" t="s">
        <v>21</v>
      </c>
      <c r="L12" s="4"/>
      <c r="M12" s="4"/>
      <c r="N12" s="4"/>
      <c r="O12" s="4"/>
      <c r="P12" s="4"/>
      <c r="Q12" s="4"/>
      <c r="R12" s="5" t="s">
        <v>21</v>
      </c>
      <c r="S12" s="4"/>
      <c r="T12" s="4"/>
      <c r="U12" s="4"/>
      <c r="V12" s="4"/>
      <c r="W12" s="4"/>
      <c r="X12" s="4"/>
      <c r="Y12" s="5" t="s">
        <v>21</v>
      </c>
      <c r="Z12" s="4"/>
      <c r="AA12" s="4"/>
      <c r="AB12" s="4"/>
      <c r="AC12" s="4"/>
      <c r="AD12" s="4"/>
      <c r="AE12" s="4"/>
      <c r="AF12" s="5" t="s">
        <v>21</v>
      </c>
      <c r="AG12" s="4"/>
      <c r="AH12" s="4"/>
      <c r="AI12" s="4"/>
      <c r="AJ12" s="1">
        <f t="shared" si="0"/>
        <v>0</v>
      </c>
      <c r="AK12" s="1">
        <f t="shared" si="1"/>
        <v>0</v>
      </c>
    </row>
    <row r="13" spans="2:37" x14ac:dyDescent="0.25">
      <c r="B13" s="4">
        <v>9</v>
      </c>
      <c r="C13" s="4" t="s">
        <v>11</v>
      </c>
      <c r="D13" s="4" t="s">
        <v>13</v>
      </c>
      <c r="E13" s="4"/>
      <c r="F13" s="4"/>
      <c r="G13" s="4"/>
      <c r="H13" s="4"/>
      <c r="I13" s="4"/>
      <c r="J13" s="5" t="s">
        <v>21</v>
      </c>
      <c r="K13" s="5" t="s">
        <v>21</v>
      </c>
      <c r="L13" s="4"/>
      <c r="M13" s="4"/>
      <c r="N13" s="4"/>
      <c r="O13" s="4"/>
      <c r="P13" s="4"/>
      <c r="Q13" s="4"/>
      <c r="R13" s="5" t="s">
        <v>21</v>
      </c>
      <c r="S13" s="4"/>
      <c r="T13" s="4"/>
      <c r="U13" s="4"/>
      <c r="V13" s="4"/>
      <c r="W13" s="4"/>
      <c r="X13" s="4"/>
      <c r="Y13" s="5" t="s">
        <v>21</v>
      </c>
      <c r="Z13" s="4"/>
      <c r="AA13" s="4"/>
      <c r="AB13" s="4"/>
      <c r="AC13" s="4"/>
      <c r="AD13" s="4"/>
      <c r="AE13" s="4"/>
      <c r="AF13" s="5" t="s">
        <v>21</v>
      </c>
      <c r="AG13" s="4"/>
      <c r="AH13" s="4"/>
      <c r="AI13" s="4"/>
      <c r="AJ13" s="1">
        <f t="shared" si="0"/>
        <v>0</v>
      </c>
      <c r="AK13" s="1">
        <f t="shared" si="1"/>
        <v>0</v>
      </c>
    </row>
    <row r="14" spans="2:37" x14ac:dyDescent="0.25">
      <c r="B14" s="4">
        <v>10</v>
      </c>
      <c r="C14" s="4" t="s">
        <v>12</v>
      </c>
      <c r="D14" s="4" t="s">
        <v>13</v>
      </c>
      <c r="E14" s="4"/>
      <c r="F14" s="4"/>
      <c r="G14" s="4"/>
      <c r="H14" s="4"/>
      <c r="I14" s="4"/>
      <c r="J14" s="5" t="s">
        <v>21</v>
      </c>
      <c r="K14" s="5" t="s">
        <v>21</v>
      </c>
      <c r="L14" s="4"/>
      <c r="M14" s="4"/>
      <c r="N14" s="4"/>
      <c r="O14" s="4"/>
      <c r="P14" s="4"/>
      <c r="Q14" s="4"/>
      <c r="R14" s="5" t="s">
        <v>21</v>
      </c>
      <c r="S14" s="4"/>
      <c r="T14" s="4"/>
      <c r="U14" s="4"/>
      <c r="V14" s="4"/>
      <c r="W14" s="4"/>
      <c r="X14" s="4"/>
      <c r="Y14" s="5" t="s">
        <v>21</v>
      </c>
      <c r="Z14" s="4"/>
      <c r="AA14" s="4"/>
      <c r="AB14" s="4"/>
      <c r="AC14" s="4"/>
      <c r="AD14" s="4"/>
      <c r="AE14" s="4"/>
      <c r="AF14" s="5" t="s">
        <v>21</v>
      </c>
      <c r="AG14" s="4"/>
      <c r="AH14" s="4"/>
      <c r="AI14" s="4"/>
      <c r="AJ14" s="1">
        <f t="shared" si="0"/>
        <v>0</v>
      </c>
      <c r="AK14" s="1">
        <f t="shared" si="1"/>
        <v>0</v>
      </c>
    </row>
    <row r="21" spans="20:55" x14ac:dyDescent="0.25">
      <c r="T21" s="19" t="s">
        <v>54</v>
      </c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</row>
    <row r="22" spans="20:55" x14ac:dyDescent="0.25"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</row>
    <row r="23" spans="20:55" x14ac:dyDescent="0.25">
      <c r="T23" s="1"/>
      <c r="U23" s="1"/>
      <c r="V23" s="1"/>
      <c r="W23" s="6">
        <v>45992</v>
      </c>
      <c r="X23" s="6">
        <v>45993</v>
      </c>
      <c r="Y23" s="6">
        <v>45994</v>
      </c>
      <c r="Z23" s="6">
        <v>45995</v>
      </c>
      <c r="AA23" s="6">
        <v>45996</v>
      </c>
      <c r="AB23" s="7">
        <v>45997</v>
      </c>
      <c r="AC23" s="7">
        <v>45998</v>
      </c>
      <c r="AD23" s="6">
        <v>45999</v>
      </c>
      <c r="AE23" s="6">
        <v>46000</v>
      </c>
      <c r="AF23" s="6">
        <v>46001</v>
      </c>
      <c r="AG23" s="6">
        <v>46002</v>
      </c>
      <c r="AH23" s="6">
        <v>46003</v>
      </c>
      <c r="AI23" s="6">
        <v>46004</v>
      </c>
      <c r="AJ23" s="7">
        <v>46005</v>
      </c>
      <c r="AK23" s="6">
        <v>46006</v>
      </c>
      <c r="AL23" s="6">
        <v>46007</v>
      </c>
      <c r="AM23" s="6">
        <v>46008</v>
      </c>
      <c r="AN23" s="6">
        <v>46009</v>
      </c>
      <c r="AO23" s="6">
        <v>46010</v>
      </c>
      <c r="AP23" s="6">
        <v>46011</v>
      </c>
      <c r="AQ23" s="7">
        <v>46012</v>
      </c>
      <c r="AR23" s="6">
        <v>46013</v>
      </c>
      <c r="AS23" s="6">
        <v>46014</v>
      </c>
      <c r="AT23" s="6">
        <v>46015</v>
      </c>
      <c r="AU23" s="6">
        <v>46016</v>
      </c>
      <c r="AV23" s="6">
        <v>46017</v>
      </c>
      <c r="AW23" s="6">
        <v>46018</v>
      </c>
      <c r="AX23" s="7">
        <v>46019</v>
      </c>
      <c r="AY23" s="6">
        <v>46020</v>
      </c>
      <c r="AZ23" s="6">
        <v>46021</v>
      </c>
      <c r="BA23" s="6">
        <v>46022</v>
      </c>
    </row>
    <row r="24" spans="20:55" x14ac:dyDescent="0.25">
      <c r="T24" s="1" t="s">
        <v>51</v>
      </c>
      <c r="U24" s="1" t="s">
        <v>52</v>
      </c>
      <c r="V24" s="1" t="s">
        <v>53</v>
      </c>
      <c r="W24" s="1" t="s">
        <v>55</v>
      </c>
      <c r="X24" s="1" t="s">
        <v>56</v>
      </c>
      <c r="Y24" s="1" t="s">
        <v>57</v>
      </c>
      <c r="Z24" s="1" t="s">
        <v>58</v>
      </c>
      <c r="AA24" s="1" t="s">
        <v>59</v>
      </c>
      <c r="AB24" s="8" t="s">
        <v>60</v>
      </c>
      <c r="AC24" s="8" t="s">
        <v>61</v>
      </c>
      <c r="AD24" s="1" t="s">
        <v>55</v>
      </c>
      <c r="AE24" s="1" t="s">
        <v>56</v>
      </c>
      <c r="AF24" s="1" t="s">
        <v>57</v>
      </c>
      <c r="AG24" s="1" t="s">
        <v>58</v>
      </c>
      <c r="AH24" s="1" t="s">
        <v>59</v>
      </c>
      <c r="AI24" s="1" t="s">
        <v>60</v>
      </c>
      <c r="AJ24" s="8" t="s">
        <v>61</v>
      </c>
      <c r="AK24" s="1" t="s">
        <v>55</v>
      </c>
      <c r="AL24" s="1" t="s">
        <v>56</v>
      </c>
      <c r="AM24" s="1" t="s">
        <v>57</v>
      </c>
      <c r="AN24" s="1" t="s">
        <v>58</v>
      </c>
      <c r="AO24" s="1" t="s">
        <v>59</v>
      </c>
      <c r="AP24" s="1" t="s">
        <v>60</v>
      </c>
      <c r="AQ24" s="8" t="s">
        <v>61</v>
      </c>
      <c r="AR24" s="1" t="s">
        <v>55</v>
      </c>
      <c r="AS24" s="1" t="s">
        <v>56</v>
      </c>
      <c r="AT24" s="1" t="s">
        <v>57</v>
      </c>
      <c r="AU24" s="1" t="s">
        <v>58</v>
      </c>
      <c r="AV24" s="1" t="s">
        <v>59</v>
      </c>
      <c r="AW24" s="1" t="s">
        <v>60</v>
      </c>
      <c r="AX24" s="8" t="s">
        <v>61</v>
      </c>
      <c r="AY24" s="1" t="s">
        <v>55</v>
      </c>
      <c r="AZ24" s="1" t="s">
        <v>56</v>
      </c>
      <c r="BA24" s="1" t="s">
        <v>57</v>
      </c>
      <c r="BB24" t="s">
        <v>73</v>
      </c>
      <c r="BC24" t="s">
        <v>74</v>
      </c>
    </row>
    <row r="25" spans="20:55" x14ac:dyDescent="0.25">
      <c r="T25" s="4">
        <v>1</v>
      </c>
      <c r="U25" s="1" t="s">
        <v>62</v>
      </c>
      <c r="V25" s="1" t="s">
        <v>75</v>
      </c>
      <c r="W25" s="1" t="s">
        <v>25</v>
      </c>
      <c r="X25" s="1" t="s">
        <v>25</v>
      </c>
      <c r="Y25" s="1" t="s">
        <v>25</v>
      </c>
      <c r="Z25" s="1" t="s">
        <v>25</v>
      </c>
      <c r="AA25" s="1" t="s">
        <v>26</v>
      </c>
      <c r="AB25" s="8" t="s">
        <v>72</v>
      </c>
      <c r="AC25" s="8" t="s">
        <v>72</v>
      </c>
      <c r="AD25" s="1" t="s">
        <v>26</v>
      </c>
      <c r="AE25" s="1" t="s">
        <v>26</v>
      </c>
      <c r="AF25" s="1" t="s">
        <v>25</v>
      </c>
      <c r="AG25" s="1" t="s">
        <v>26</v>
      </c>
      <c r="AH25" s="1" t="s">
        <v>25</v>
      </c>
      <c r="AI25" s="1"/>
      <c r="AJ25" s="8" t="s">
        <v>72</v>
      </c>
      <c r="AK25" s="1"/>
      <c r="AL25" s="1"/>
      <c r="AM25" s="1"/>
      <c r="AN25" s="1"/>
      <c r="AO25" s="1"/>
      <c r="AP25" s="1"/>
      <c r="AQ25" s="8" t="s">
        <v>72</v>
      </c>
      <c r="AR25" s="1"/>
      <c r="AS25" s="1"/>
      <c r="AT25" s="1"/>
      <c r="AU25" s="1"/>
      <c r="AV25" s="1"/>
      <c r="AW25" s="1"/>
      <c r="AX25" s="8" t="s">
        <v>72</v>
      </c>
      <c r="AY25" s="1"/>
      <c r="AZ25" s="1"/>
      <c r="BA25" s="1"/>
      <c r="BB25">
        <f t="shared" ref="BB25:BB35" si="2">COUNTIF(W25:BA25,"P")</f>
        <v>6</v>
      </c>
      <c r="BC25">
        <f>COUNTIF(W25:BA25,"A")</f>
        <v>4</v>
      </c>
    </row>
    <row r="26" spans="20:55" x14ac:dyDescent="0.25">
      <c r="T26" s="4">
        <v>2</v>
      </c>
      <c r="U26" s="1" t="s">
        <v>63</v>
      </c>
      <c r="V26" s="1" t="s">
        <v>75</v>
      </c>
      <c r="W26" s="1"/>
      <c r="X26" s="1"/>
      <c r="Y26" s="1"/>
      <c r="Z26" s="1"/>
      <c r="AA26" s="1"/>
      <c r="AB26" s="8" t="s">
        <v>72</v>
      </c>
      <c r="AC26" s="8" t="s">
        <v>72</v>
      </c>
      <c r="AD26" s="1"/>
      <c r="AE26" s="1"/>
      <c r="AF26" s="1"/>
      <c r="AG26" s="1"/>
      <c r="AH26" s="1"/>
      <c r="AI26" s="1"/>
      <c r="AJ26" s="8" t="s">
        <v>72</v>
      </c>
      <c r="AK26" s="1"/>
      <c r="AL26" s="1"/>
      <c r="AM26" s="1"/>
      <c r="AN26" s="1"/>
      <c r="AO26" s="1"/>
      <c r="AP26" s="1"/>
      <c r="AQ26" s="8" t="s">
        <v>72</v>
      </c>
      <c r="AR26" s="1"/>
      <c r="AS26" s="1"/>
      <c r="AT26" s="1"/>
      <c r="AU26" s="1"/>
      <c r="AV26" s="1"/>
      <c r="AW26" s="1"/>
      <c r="AX26" s="8" t="s">
        <v>72</v>
      </c>
      <c r="AY26" s="1"/>
      <c r="AZ26" s="1"/>
      <c r="BA26" s="1"/>
      <c r="BB26">
        <f t="shared" si="2"/>
        <v>0</v>
      </c>
    </row>
    <row r="27" spans="20:55" x14ac:dyDescent="0.25">
      <c r="T27" s="4">
        <v>3</v>
      </c>
      <c r="U27" s="1" t="s">
        <v>64</v>
      </c>
      <c r="V27" s="1" t="s">
        <v>75</v>
      </c>
      <c r="W27" s="1"/>
      <c r="X27" s="1"/>
      <c r="Y27" s="1"/>
      <c r="Z27" s="1"/>
      <c r="AA27" s="1"/>
      <c r="AB27" s="8" t="s">
        <v>72</v>
      </c>
      <c r="AC27" s="8" t="s">
        <v>72</v>
      </c>
      <c r="AD27" s="1"/>
      <c r="AE27" s="1"/>
      <c r="AF27" s="1"/>
      <c r="AG27" s="1"/>
      <c r="AH27" s="1"/>
      <c r="AI27" s="1"/>
      <c r="AJ27" s="8" t="s">
        <v>72</v>
      </c>
      <c r="AK27" s="1"/>
      <c r="AL27" s="1"/>
      <c r="AM27" s="1"/>
      <c r="AN27" s="1"/>
      <c r="AO27" s="1"/>
      <c r="AP27" s="1"/>
      <c r="AQ27" s="8" t="s">
        <v>72</v>
      </c>
      <c r="AR27" s="1"/>
      <c r="AS27" s="1"/>
      <c r="AT27" s="1"/>
      <c r="AU27" s="1"/>
      <c r="AV27" s="1"/>
      <c r="AW27" s="1"/>
      <c r="AX27" s="8" t="s">
        <v>72</v>
      </c>
      <c r="AY27" s="1"/>
      <c r="AZ27" s="1"/>
      <c r="BA27" s="1"/>
      <c r="BB27">
        <f t="shared" si="2"/>
        <v>0</v>
      </c>
    </row>
    <row r="28" spans="20:55" x14ac:dyDescent="0.25">
      <c r="T28" s="4">
        <v>4</v>
      </c>
      <c r="U28" s="1" t="s">
        <v>65</v>
      </c>
      <c r="V28" s="1" t="s">
        <v>75</v>
      </c>
      <c r="W28" s="1"/>
      <c r="X28" s="1"/>
      <c r="Y28" s="1"/>
      <c r="Z28" s="1"/>
      <c r="AA28" s="1"/>
      <c r="AB28" s="8" t="s">
        <v>72</v>
      </c>
      <c r="AC28" s="8" t="s">
        <v>72</v>
      </c>
      <c r="AD28" s="1"/>
      <c r="AE28" s="1"/>
      <c r="AF28" s="1"/>
      <c r="AG28" s="1"/>
      <c r="AH28" s="1"/>
      <c r="AI28" s="1"/>
      <c r="AJ28" s="8" t="s">
        <v>72</v>
      </c>
      <c r="AK28" s="1"/>
      <c r="AL28" s="1"/>
      <c r="AM28" s="1"/>
      <c r="AN28" s="1"/>
      <c r="AO28" s="1"/>
      <c r="AP28" s="1"/>
      <c r="AQ28" s="8" t="s">
        <v>72</v>
      </c>
      <c r="AR28" s="1"/>
      <c r="AS28" s="1"/>
      <c r="AT28" s="1"/>
      <c r="AU28" s="1"/>
      <c r="AV28" s="1"/>
      <c r="AW28" s="1"/>
      <c r="AX28" s="8" t="s">
        <v>72</v>
      </c>
      <c r="AY28" s="1"/>
      <c r="AZ28" s="1"/>
      <c r="BA28" s="1"/>
      <c r="BB28">
        <f t="shared" si="2"/>
        <v>0</v>
      </c>
    </row>
    <row r="29" spans="20:55" x14ac:dyDescent="0.25">
      <c r="T29" s="4">
        <v>5</v>
      </c>
      <c r="U29" s="1" t="s">
        <v>66</v>
      </c>
      <c r="V29" s="1" t="s">
        <v>75</v>
      </c>
      <c r="W29" s="1"/>
      <c r="X29" s="1"/>
      <c r="Y29" s="1"/>
      <c r="Z29" s="1"/>
      <c r="AA29" s="1"/>
      <c r="AB29" s="8" t="s">
        <v>72</v>
      </c>
      <c r="AC29" s="8" t="s">
        <v>72</v>
      </c>
      <c r="AD29" s="1"/>
      <c r="AE29" s="1"/>
      <c r="AF29" s="1"/>
      <c r="AG29" s="1"/>
      <c r="AH29" s="1"/>
      <c r="AI29" s="1"/>
      <c r="AJ29" s="8" t="s">
        <v>72</v>
      </c>
      <c r="AK29" s="1"/>
      <c r="AL29" s="1"/>
      <c r="AM29" s="1"/>
      <c r="AN29" s="1"/>
      <c r="AO29" s="1"/>
      <c r="AP29" s="1"/>
      <c r="AQ29" s="8" t="s">
        <v>72</v>
      </c>
      <c r="AR29" s="1"/>
      <c r="AS29" s="1"/>
      <c r="AT29" s="1"/>
      <c r="AU29" s="1"/>
      <c r="AV29" s="1"/>
      <c r="AW29" s="1"/>
      <c r="AX29" s="8" t="s">
        <v>72</v>
      </c>
      <c r="AY29" s="1"/>
      <c r="AZ29" s="1"/>
      <c r="BA29" s="1"/>
      <c r="BB29">
        <f t="shared" si="2"/>
        <v>0</v>
      </c>
    </row>
    <row r="30" spans="20:55" x14ac:dyDescent="0.25">
      <c r="T30" s="4">
        <v>6</v>
      </c>
      <c r="U30" s="1" t="s">
        <v>67</v>
      </c>
      <c r="V30" s="1" t="s">
        <v>75</v>
      </c>
      <c r="W30" s="1"/>
      <c r="X30" s="1"/>
      <c r="Y30" s="1"/>
      <c r="Z30" s="1"/>
      <c r="AA30" s="1"/>
      <c r="AB30" s="8" t="s">
        <v>72</v>
      </c>
      <c r="AC30" s="8" t="s">
        <v>72</v>
      </c>
      <c r="AD30" s="1"/>
      <c r="AE30" s="1"/>
      <c r="AF30" s="1"/>
      <c r="AG30" s="1"/>
      <c r="AH30" s="1"/>
      <c r="AI30" s="1"/>
      <c r="AJ30" s="8" t="s">
        <v>72</v>
      </c>
      <c r="AK30" s="1"/>
      <c r="AL30" s="1"/>
      <c r="AM30" s="1"/>
      <c r="AN30" s="1"/>
      <c r="AO30" s="1"/>
      <c r="AP30" s="1"/>
      <c r="AQ30" s="8" t="s">
        <v>72</v>
      </c>
      <c r="AR30" s="1"/>
      <c r="AS30" s="1"/>
      <c r="AT30" s="1"/>
      <c r="AU30" s="1"/>
      <c r="AV30" s="1"/>
      <c r="AW30" s="1"/>
      <c r="AX30" s="8" t="s">
        <v>72</v>
      </c>
      <c r="AY30" s="1"/>
      <c r="AZ30" s="1"/>
      <c r="BA30" s="1"/>
      <c r="BB30">
        <f t="shared" si="2"/>
        <v>0</v>
      </c>
    </row>
    <row r="31" spans="20:55" x14ac:dyDescent="0.25">
      <c r="T31" s="4">
        <v>7</v>
      </c>
      <c r="U31" s="1" t="s">
        <v>68</v>
      </c>
      <c r="V31" s="1" t="s">
        <v>75</v>
      </c>
      <c r="W31" s="1"/>
      <c r="X31" s="1"/>
      <c r="Y31" s="1"/>
      <c r="Z31" s="1"/>
      <c r="AA31" s="1"/>
      <c r="AB31" s="8" t="s">
        <v>72</v>
      </c>
      <c r="AC31" s="8" t="s">
        <v>72</v>
      </c>
      <c r="AD31" s="1"/>
      <c r="AE31" s="1"/>
      <c r="AF31" s="1"/>
      <c r="AG31" s="1"/>
      <c r="AH31" s="1"/>
      <c r="AI31" s="1"/>
      <c r="AJ31" s="8" t="s">
        <v>72</v>
      </c>
      <c r="AK31" s="1"/>
      <c r="AL31" s="1"/>
      <c r="AM31" s="1"/>
      <c r="AN31" s="1"/>
      <c r="AO31" s="1"/>
      <c r="AP31" s="1"/>
      <c r="AQ31" s="8" t="s">
        <v>72</v>
      </c>
      <c r="AR31" s="1"/>
      <c r="AS31" s="1"/>
      <c r="AT31" s="1"/>
      <c r="AU31" s="1"/>
      <c r="AV31" s="1"/>
      <c r="AW31" s="1"/>
      <c r="AX31" s="8" t="s">
        <v>72</v>
      </c>
      <c r="AY31" s="1"/>
      <c r="AZ31" s="1"/>
      <c r="BA31" s="1"/>
      <c r="BB31">
        <f t="shared" si="2"/>
        <v>0</v>
      </c>
    </row>
    <row r="32" spans="20:55" x14ac:dyDescent="0.25">
      <c r="T32" s="4">
        <v>8</v>
      </c>
      <c r="U32" s="1" t="s">
        <v>69</v>
      </c>
      <c r="V32" s="1" t="s">
        <v>75</v>
      </c>
      <c r="W32" s="1"/>
      <c r="X32" s="1"/>
      <c r="Y32" s="1"/>
      <c r="Z32" s="1"/>
      <c r="AA32" s="1"/>
      <c r="AB32" s="8" t="s">
        <v>72</v>
      </c>
      <c r="AC32" s="8" t="s">
        <v>72</v>
      </c>
      <c r="AD32" s="1"/>
      <c r="AE32" s="1"/>
      <c r="AF32" s="1"/>
      <c r="AG32" s="1"/>
      <c r="AH32" s="1"/>
      <c r="AI32" s="1"/>
      <c r="AJ32" s="8" t="s">
        <v>72</v>
      </c>
      <c r="AK32" s="1"/>
      <c r="AL32" s="1"/>
      <c r="AM32" s="1"/>
      <c r="AN32" s="1"/>
      <c r="AO32" s="1"/>
      <c r="AP32" s="1"/>
      <c r="AQ32" s="8" t="s">
        <v>72</v>
      </c>
      <c r="AR32" s="1"/>
      <c r="AS32" s="1"/>
      <c r="AT32" s="1"/>
      <c r="AU32" s="1"/>
      <c r="AV32" s="1"/>
      <c r="AW32" s="1"/>
      <c r="AX32" s="8" t="s">
        <v>72</v>
      </c>
      <c r="AY32" s="1"/>
      <c r="AZ32" s="1"/>
      <c r="BA32" s="1"/>
      <c r="BB32">
        <f t="shared" si="2"/>
        <v>0</v>
      </c>
    </row>
    <row r="33" spans="20:54" x14ac:dyDescent="0.25">
      <c r="T33" s="4">
        <v>9</v>
      </c>
      <c r="U33" s="1" t="s">
        <v>70</v>
      </c>
      <c r="V33" s="1" t="s">
        <v>75</v>
      </c>
      <c r="W33" s="1"/>
      <c r="X33" s="1"/>
      <c r="Y33" s="1"/>
      <c r="Z33" s="1"/>
      <c r="AA33" s="1"/>
      <c r="AB33" s="8" t="s">
        <v>72</v>
      </c>
      <c r="AC33" s="8" t="s">
        <v>72</v>
      </c>
      <c r="AD33" s="1"/>
      <c r="AE33" s="1"/>
      <c r="AF33" s="1"/>
      <c r="AG33" s="1"/>
      <c r="AH33" s="1"/>
      <c r="AI33" s="1"/>
      <c r="AJ33" s="8" t="s">
        <v>72</v>
      </c>
      <c r="AK33" s="1"/>
      <c r="AL33" s="1"/>
      <c r="AM33" s="1"/>
      <c r="AN33" s="1"/>
      <c r="AO33" s="1"/>
      <c r="AP33" s="1"/>
      <c r="AQ33" s="8" t="s">
        <v>72</v>
      </c>
      <c r="AR33" s="1"/>
      <c r="AS33" s="1"/>
      <c r="AT33" s="1"/>
      <c r="AU33" s="1"/>
      <c r="AV33" s="1"/>
      <c r="AW33" s="1"/>
      <c r="AX33" s="8" t="s">
        <v>72</v>
      </c>
      <c r="AY33" s="1"/>
      <c r="AZ33" s="1"/>
      <c r="BA33" s="1"/>
      <c r="BB33">
        <f t="shared" si="2"/>
        <v>0</v>
      </c>
    </row>
    <row r="34" spans="20:54" x14ac:dyDescent="0.25">
      <c r="T34" s="4">
        <v>10</v>
      </c>
      <c r="U34" s="1" t="s">
        <v>71</v>
      </c>
      <c r="V34" s="1" t="s">
        <v>75</v>
      </c>
      <c r="W34" s="1"/>
      <c r="X34" s="1"/>
      <c r="Y34" s="1"/>
      <c r="Z34" s="1"/>
      <c r="AA34" s="1"/>
      <c r="AB34" s="8" t="s">
        <v>72</v>
      </c>
      <c r="AC34" s="8" t="s">
        <v>72</v>
      </c>
      <c r="AD34" s="1"/>
      <c r="AE34" s="1"/>
      <c r="AF34" s="1"/>
      <c r="AG34" s="1"/>
      <c r="AH34" s="1"/>
      <c r="AI34" s="1"/>
      <c r="AJ34" s="8" t="s">
        <v>72</v>
      </c>
      <c r="AK34" s="1"/>
      <c r="AL34" s="1"/>
      <c r="AM34" s="1"/>
      <c r="AN34" s="1"/>
      <c r="AO34" s="1"/>
      <c r="AP34" s="1"/>
      <c r="AQ34" s="8" t="s">
        <v>72</v>
      </c>
      <c r="AR34" s="1"/>
      <c r="AS34" s="1"/>
      <c r="AT34" s="1"/>
      <c r="AU34" s="1"/>
      <c r="AV34" s="1"/>
      <c r="AW34" s="1"/>
      <c r="AX34" s="8" t="s">
        <v>72</v>
      </c>
      <c r="AY34" s="1"/>
      <c r="AZ34" s="1"/>
      <c r="BA34" s="1"/>
      <c r="BB34">
        <f t="shared" si="2"/>
        <v>0</v>
      </c>
    </row>
    <row r="35" spans="20:54" x14ac:dyDescent="0.25"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8" t="s">
        <v>72</v>
      </c>
      <c r="AY35" s="1"/>
      <c r="AZ35" s="1"/>
      <c r="BA35" s="1"/>
      <c r="BB35">
        <f t="shared" si="2"/>
        <v>0</v>
      </c>
    </row>
  </sheetData>
  <mergeCells count="2">
    <mergeCell ref="B1:AI2"/>
    <mergeCell ref="T21:BA22"/>
  </mergeCells>
  <phoneticPr fontId="1" type="noConversion"/>
  <pageMargins left="0.7" right="0.7" top="0.75" bottom="0.75" header="0.3" footer="0.3"/>
  <pageSetup orientation="portrait" r:id="rId1"/>
  <ignoredErrors>
    <ignoredError sqref="BB2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51A3-DF6C-4DBC-984A-3A06D30D4C11}">
  <dimension ref="D4:N21"/>
  <sheetViews>
    <sheetView workbookViewId="0">
      <selection activeCell="L18" sqref="L18"/>
    </sheetView>
  </sheetViews>
  <sheetFormatPr defaultRowHeight="15" x14ac:dyDescent="0.25"/>
  <cols>
    <col min="3" max="3" width="7.85546875" customWidth="1"/>
    <col min="4" max="4" width="9.140625" hidden="1" customWidth="1"/>
    <col min="5" max="5" width="10.140625" bestFit="1" customWidth="1"/>
    <col min="6" max="6" width="6.140625" customWidth="1"/>
    <col min="7" max="7" width="6.85546875" bestFit="1" customWidth="1"/>
  </cols>
  <sheetData>
    <row r="4" spans="5:14" ht="6.75" customHeight="1" x14ac:dyDescent="0.25"/>
    <row r="5" spans="5:14" hidden="1" x14ac:dyDescent="0.25"/>
    <row r="6" spans="5:14" x14ac:dyDescent="0.25">
      <c r="E6" s="4" t="s">
        <v>27</v>
      </c>
      <c r="F6" s="4" t="s">
        <v>28</v>
      </c>
      <c r="G6" s="1" t="s">
        <v>50</v>
      </c>
      <c r="H6" s="1"/>
      <c r="L6" t="s">
        <v>44</v>
      </c>
      <c r="N6" t="s">
        <v>47</v>
      </c>
    </row>
    <row r="7" spans="5:14" x14ac:dyDescent="0.25">
      <c r="E7" s="4" t="s">
        <v>29</v>
      </c>
      <c r="F7" s="4">
        <v>10000</v>
      </c>
      <c r="G7" s="1"/>
      <c r="H7" s="1"/>
      <c r="M7" t="s">
        <v>45</v>
      </c>
      <c r="N7" t="s">
        <v>48</v>
      </c>
    </row>
    <row r="8" spans="5:14" x14ac:dyDescent="0.25">
      <c r="E8" s="4" t="s">
        <v>30</v>
      </c>
      <c r="F8" s="4">
        <v>15000</v>
      </c>
      <c r="G8" s="1"/>
      <c r="H8" s="1"/>
      <c r="M8" t="s">
        <v>46</v>
      </c>
      <c r="N8" t="s">
        <v>49</v>
      </c>
    </row>
    <row r="9" spans="5:14" x14ac:dyDescent="0.25">
      <c r="E9" s="4" t="s">
        <v>31</v>
      </c>
      <c r="F9" s="4">
        <v>20000</v>
      </c>
      <c r="G9" s="1"/>
      <c r="H9" s="1"/>
    </row>
    <row r="10" spans="5:14" x14ac:dyDescent="0.25">
      <c r="E10" s="4" t="s">
        <v>32</v>
      </c>
      <c r="F10" s="4">
        <v>25000</v>
      </c>
      <c r="G10" s="1"/>
      <c r="H10" s="1"/>
    </row>
    <row r="11" spans="5:14" x14ac:dyDescent="0.25">
      <c r="E11" s="4" t="s">
        <v>33</v>
      </c>
      <c r="F11" s="4">
        <v>30000</v>
      </c>
      <c r="G11" s="1"/>
      <c r="H11" s="1"/>
    </row>
    <row r="12" spans="5:14" x14ac:dyDescent="0.25">
      <c r="E12" s="4" t="s">
        <v>34</v>
      </c>
      <c r="F12" s="4">
        <v>35000</v>
      </c>
      <c r="G12" s="1"/>
      <c r="H12" s="1"/>
    </row>
    <row r="13" spans="5:14" x14ac:dyDescent="0.25">
      <c r="E13" s="4" t="s">
        <v>35</v>
      </c>
      <c r="F13" s="4">
        <v>40000</v>
      </c>
      <c r="G13" s="1"/>
      <c r="H13" s="1"/>
    </row>
    <row r="14" spans="5:14" x14ac:dyDescent="0.25">
      <c r="E14" s="4" t="s">
        <v>36</v>
      </c>
      <c r="F14" s="4">
        <v>45000</v>
      </c>
      <c r="G14" s="1"/>
      <c r="H14" s="1"/>
    </row>
    <row r="15" spans="5:14" x14ac:dyDescent="0.25">
      <c r="E15" s="4" t="s">
        <v>37</v>
      </c>
      <c r="F15" s="4">
        <v>50000</v>
      </c>
      <c r="G15" s="1"/>
      <c r="H15" s="1"/>
    </row>
    <row r="16" spans="5:14" x14ac:dyDescent="0.25">
      <c r="E16" s="4" t="s">
        <v>38</v>
      </c>
      <c r="F16" s="4">
        <v>55000</v>
      </c>
      <c r="G16" s="1"/>
      <c r="H16" s="1"/>
    </row>
    <row r="17" spans="5:8" x14ac:dyDescent="0.25">
      <c r="E17" s="4" t="s">
        <v>39</v>
      </c>
      <c r="F17" s="4">
        <v>60000</v>
      </c>
      <c r="G17" s="1"/>
      <c r="H17" s="1"/>
    </row>
    <row r="18" spans="5:8" x14ac:dyDescent="0.25">
      <c r="E18" s="4" t="s">
        <v>40</v>
      </c>
      <c r="F18" s="4">
        <v>65000</v>
      </c>
      <c r="G18" s="1"/>
      <c r="H18" s="1"/>
    </row>
    <row r="19" spans="5:8" x14ac:dyDescent="0.25">
      <c r="E19" s="4" t="s">
        <v>41</v>
      </c>
      <c r="F19" s="4">
        <v>70000</v>
      </c>
      <c r="G19" s="1"/>
      <c r="H19" s="1"/>
    </row>
    <row r="20" spans="5:8" x14ac:dyDescent="0.25">
      <c r="E20" s="4" t="s">
        <v>42</v>
      </c>
      <c r="F20" s="4">
        <v>75000</v>
      </c>
      <c r="G20" s="1"/>
      <c r="H20" s="1"/>
    </row>
    <row r="21" spans="5:8" x14ac:dyDescent="0.25">
      <c r="E21" s="4" t="s">
        <v>43</v>
      </c>
      <c r="F21" s="4">
        <v>80000</v>
      </c>
      <c r="G21" s="1"/>
      <c r="H2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D42C-38BE-4921-8BAC-37801623E5B4}">
  <sheetPr>
    <pageSetUpPr fitToPage="1"/>
  </sheetPr>
  <dimension ref="B3:N58"/>
  <sheetViews>
    <sheetView tabSelected="1" zoomScale="84" zoomScaleNormal="84" workbookViewId="0">
      <selection activeCell="L18" sqref="L18"/>
    </sheetView>
  </sheetViews>
  <sheetFormatPr defaultRowHeight="15" x14ac:dyDescent="0.25"/>
  <cols>
    <col min="2" max="2" width="8.7109375" bestFit="1" customWidth="1"/>
    <col min="3" max="3" width="13.140625" bestFit="1" customWidth="1"/>
    <col min="4" max="4" width="10" bestFit="1" customWidth="1"/>
    <col min="5" max="6" width="10.28515625" bestFit="1" customWidth="1"/>
    <col min="7" max="7" width="10.5703125" bestFit="1" customWidth="1"/>
    <col min="8" max="8" width="15" bestFit="1" customWidth="1"/>
    <col min="9" max="9" width="15" customWidth="1"/>
    <col min="10" max="10" width="12" bestFit="1" customWidth="1"/>
    <col min="11" max="11" width="15.28515625" bestFit="1" customWidth="1"/>
    <col min="14" max="14" width="15.85546875" bestFit="1" customWidth="1"/>
  </cols>
  <sheetData>
    <row r="3" spans="2:14" x14ac:dyDescent="0.25">
      <c r="C3" s="14" t="s">
        <v>52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  <c r="I3" s="14"/>
      <c r="J3" s="14" t="s">
        <v>81</v>
      </c>
      <c r="K3" s="15" t="s">
        <v>83</v>
      </c>
    </row>
    <row r="4" spans="2:14" ht="32.25" customHeight="1" x14ac:dyDescent="0.25">
      <c r="B4">
        <v>123456</v>
      </c>
      <c r="C4" s="16" t="s">
        <v>62</v>
      </c>
      <c r="D4" s="4">
        <v>10</v>
      </c>
      <c r="E4" s="4">
        <v>20</v>
      </c>
      <c r="F4" s="4">
        <v>10</v>
      </c>
      <c r="G4" s="4">
        <f>SUM(D4:F4)</f>
        <v>40</v>
      </c>
      <c r="H4" s="9">
        <f>G4*100/300</f>
        <v>13.333333333333334</v>
      </c>
      <c r="I4" s="9"/>
      <c r="J4" s="4" t="str">
        <f t="shared" ref="J4:J13" si="0">IF(G4&lt;150,"FAIL","PASS")</f>
        <v>FAIL</v>
      </c>
      <c r="K4" s="4" t="str">
        <f t="shared" ref="K4:K13" si="1">IF(G4&lt;150,"3RD DIVISION",IF(G4&lt;250,"2ND DIVISION","1ST DIVISION"))</f>
        <v>3RD DIVISION</v>
      </c>
      <c r="N4" t="s">
        <v>84</v>
      </c>
    </row>
    <row r="5" spans="2:14" ht="40.5" customHeight="1" x14ac:dyDescent="0.25">
      <c r="B5">
        <v>789456</v>
      </c>
      <c r="C5" s="4" t="s">
        <v>63</v>
      </c>
      <c r="D5" s="4">
        <v>100</v>
      </c>
      <c r="E5" s="4">
        <v>15</v>
      </c>
      <c r="F5" s="4">
        <v>100</v>
      </c>
      <c r="G5" s="4">
        <f t="shared" ref="G5:G13" si="2">SUM(D5:F5)</f>
        <v>215</v>
      </c>
      <c r="H5" s="9">
        <f t="shared" ref="H5:H13" si="3">G5*100/300</f>
        <v>71.666666666666671</v>
      </c>
      <c r="I5" s="9"/>
      <c r="J5" s="4" t="str">
        <f t="shared" si="0"/>
        <v>PASS</v>
      </c>
      <c r="K5" s="4" t="str">
        <f t="shared" si="1"/>
        <v>2ND DIVISION</v>
      </c>
      <c r="N5" t="s">
        <v>85</v>
      </c>
    </row>
    <row r="6" spans="2:14" x14ac:dyDescent="0.25">
      <c r="B6">
        <v>798456</v>
      </c>
      <c r="C6" s="16" t="s">
        <v>64</v>
      </c>
      <c r="D6" s="4">
        <v>30</v>
      </c>
      <c r="E6" s="4">
        <v>20</v>
      </c>
      <c r="F6" s="4">
        <v>30</v>
      </c>
      <c r="G6" s="4">
        <f t="shared" si="2"/>
        <v>80</v>
      </c>
      <c r="H6" s="9">
        <f t="shared" si="3"/>
        <v>26.666666666666668</v>
      </c>
      <c r="I6" s="9"/>
      <c r="J6" s="4" t="str">
        <f t="shared" si="0"/>
        <v>FAIL</v>
      </c>
      <c r="K6" s="4" t="str">
        <f t="shared" si="1"/>
        <v>3RD DIVISION</v>
      </c>
      <c r="N6" t="s">
        <v>86</v>
      </c>
    </row>
    <row r="7" spans="2:14" x14ac:dyDescent="0.25">
      <c r="B7">
        <v>456431</v>
      </c>
      <c r="C7" s="4" t="s">
        <v>65</v>
      </c>
      <c r="D7" s="4">
        <v>40</v>
      </c>
      <c r="E7" s="4">
        <v>15</v>
      </c>
      <c r="F7" s="4">
        <v>40</v>
      </c>
      <c r="G7" s="4">
        <f t="shared" si="2"/>
        <v>95</v>
      </c>
      <c r="H7" s="9">
        <f t="shared" si="3"/>
        <v>31.666666666666668</v>
      </c>
      <c r="I7" s="9"/>
      <c r="J7" s="4" t="str">
        <f t="shared" si="0"/>
        <v>FAIL</v>
      </c>
      <c r="K7" s="4" t="str">
        <f t="shared" si="1"/>
        <v>3RD DIVISION</v>
      </c>
    </row>
    <row r="8" spans="2:14" x14ac:dyDescent="0.25">
      <c r="B8">
        <v>789456</v>
      </c>
      <c r="C8" s="4" t="s">
        <v>66</v>
      </c>
      <c r="D8" s="4">
        <v>50</v>
      </c>
      <c r="E8" s="4">
        <v>15</v>
      </c>
      <c r="F8" s="4">
        <v>50</v>
      </c>
      <c r="G8" s="4">
        <f t="shared" si="2"/>
        <v>115</v>
      </c>
      <c r="H8" s="9">
        <f t="shared" si="3"/>
        <v>38.333333333333336</v>
      </c>
      <c r="I8" s="9"/>
      <c r="J8" s="4" t="str">
        <f t="shared" si="0"/>
        <v>FAIL</v>
      </c>
      <c r="K8" s="4" t="str">
        <f t="shared" si="1"/>
        <v>3RD DIVISION</v>
      </c>
      <c r="N8" t="str">
        <f>IF(H5&lt;50,"fail","pass")</f>
        <v>pass</v>
      </c>
    </row>
    <row r="9" spans="2:14" x14ac:dyDescent="0.25">
      <c r="B9">
        <v>123456</v>
      </c>
      <c r="C9" s="4" t="s">
        <v>67</v>
      </c>
      <c r="D9" s="4">
        <v>60</v>
      </c>
      <c r="E9" s="4">
        <v>14</v>
      </c>
      <c r="F9" s="4">
        <v>60</v>
      </c>
      <c r="G9" s="4">
        <f t="shared" si="2"/>
        <v>134</v>
      </c>
      <c r="H9" s="9">
        <f t="shared" si="3"/>
        <v>44.666666666666664</v>
      </c>
      <c r="I9" s="9"/>
      <c r="J9" s="4" t="str">
        <f t="shared" si="0"/>
        <v>FAIL</v>
      </c>
      <c r="K9" s="4" t="str">
        <f t="shared" si="1"/>
        <v>3RD DIVISION</v>
      </c>
    </row>
    <row r="10" spans="2:14" x14ac:dyDescent="0.25">
      <c r="B10">
        <v>112345</v>
      </c>
      <c r="C10" s="4" t="s">
        <v>68</v>
      </c>
      <c r="D10" s="4">
        <v>70</v>
      </c>
      <c r="E10" s="4">
        <v>100</v>
      </c>
      <c r="F10" s="4">
        <v>70</v>
      </c>
      <c r="G10" s="4">
        <f t="shared" si="2"/>
        <v>240</v>
      </c>
      <c r="H10" s="9">
        <f t="shared" si="3"/>
        <v>80</v>
      </c>
      <c r="I10" s="9"/>
      <c r="J10" s="4" t="str">
        <f t="shared" si="0"/>
        <v>PASS</v>
      </c>
      <c r="K10" s="4" t="str">
        <f t="shared" si="1"/>
        <v>2ND DIVISION</v>
      </c>
    </row>
    <row r="11" spans="2:14" x14ac:dyDescent="0.25">
      <c r="B11">
        <v>23133</v>
      </c>
      <c r="C11" s="4" t="s">
        <v>69</v>
      </c>
      <c r="D11" s="4">
        <v>80</v>
      </c>
      <c r="E11" s="4">
        <v>12</v>
      </c>
      <c r="F11" s="4">
        <v>80</v>
      </c>
      <c r="G11" s="4">
        <f t="shared" si="2"/>
        <v>172</v>
      </c>
      <c r="H11" s="9">
        <f t="shared" si="3"/>
        <v>57.333333333333336</v>
      </c>
      <c r="I11" s="9"/>
      <c r="J11" s="4" t="str">
        <f t="shared" si="0"/>
        <v>PASS</v>
      </c>
      <c r="K11" s="4" t="str">
        <f t="shared" si="1"/>
        <v>2ND DIVISION</v>
      </c>
      <c r="N11" s="10"/>
    </row>
    <row r="12" spans="2:14" x14ac:dyDescent="0.25">
      <c r="C12" s="4" t="s">
        <v>70</v>
      </c>
      <c r="D12" s="4">
        <v>90</v>
      </c>
      <c r="E12" s="4">
        <v>11</v>
      </c>
      <c r="F12" s="4">
        <v>90</v>
      </c>
      <c r="G12" s="4">
        <f t="shared" si="2"/>
        <v>191</v>
      </c>
      <c r="H12" s="9">
        <f t="shared" si="3"/>
        <v>63.666666666666664</v>
      </c>
      <c r="I12" s="9"/>
      <c r="J12" s="4" t="str">
        <f t="shared" si="0"/>
        <v>PASS</v>
      </c>
      <c r="K12" s="4" t="str">
        <f t="shared" si="1"/>
        <v>2ND DIVISION</v>
      </c>
    </row>
    <row r="13" spans="2:14" x14ac:dyDescent="0.25">
      <c r="C13" s="4" t="s">
        <v>71</v>
      </c>
      <c r="D13" s="4">
        <v>100</v>
      </c>
      <c r="E13" s="4">
        <v>100</v>
      </c>
      <c r="F13" s="4">
        <v>100</v>
      </c>
      <c r="G13" s="4">
        <f t="shared" si="2"/>
        <v>300</v>
      </c>
      <c r="H13" s="9">
        <f t="shared" si="3"/>
        <v>100</v>
      </c>
      <c r="I13" s="9"/>
      <c r="J13" s="4" t="str">
        <f t="shared" si="0"/>
        <v>PASS</v>
      </c>
      <c r="K13" s="4" t="str">
        <f t="shared" si="1"/>
        <v>1ST DIVISION</v>
      </c>
      <c r="N13" s="11"/>
    </row>
    <row r="14" spans="2:14" x14ac:dyDescent="0.25">
      <c r="C14" s="4"/>
      <c r="D14" s="4"/>
      <c r="E14" s="4"/>
      <c r="F14" s="4"/>
      <c r="G14" s="4" t="s">
        <v>82</v>
      </c>
      <c r="H14" s="4" t="s">
        <v>82</v>
      </c>
      <c r="I14" s="9"/>
      <c r="J14" s="4" t="s">
        <v>82</v>
      </c>
      <c r="K14" s="4" t="s">
        <v>82</v>
      </c>
    </row>
    <row r="15" spans="2:14" x14ac:dyDescent="0.25">
      <c r="C15" s="16" t="s">
        <v>62</v>
      </c>
      <c r="D15" s="4">
        <v>10</v>
      </c>
      <c r="E15" s="4">
        <v>20</v>
      </c>
      <c r="F15" s="4">
        <v>10</v>
      </c>
      <c r="G15" s="4">
        <f>SUM(D15:F15)</f>
        <v>40</v>
      </c>
      <c r="H15" s="9">
        <f>G15*100/300</f>
        <v>13.333333333333334</v>
      </c>
      <c r="I15" s="9"/>
      <c r="J15" s="4" t="str">
        <f t="shared" ref="J15:J24" si="4">IF(G15&lt;150,"FAIL","PASS")</f>
        <v>FAIL</v>
      </c>
      <c r="K15" s="4" t="str">
        <f t="shared" ref="K15:K24" si="5">IF(G15&lt;150,"3RD DIVISION",IF(G15&lt;250,"2ND DIVISION","1ST DIVISION"))</f>
        <v>3RD DIVISION</v>
      </c>
    </row>
    <row r="16" spans="2:14" x14ac:dyDescent="0.25">
      <c r="C16" s="4" t="s">
        <v>63</v>
      </c>
      <c r="D16" s="4">
        <v>100</v>
      </c>
      <c r="E16" s="4">
        <v>15</v>
      </c>
      <c r="F16" s="4">
        <v>100</v>
      </c>
      <c r="G16" s="4">
        <f t="shared" ref="G16:G24" si="6">SUM(D16:F16)</f>
        <v>215</v>
      </c>
      <c r="H16" s="9">
        <f t="shared" ref="H16:H24" si="7">G16*100/300</f>
        <v>71.666666666666671</v>
      </c>
      <c r="I16" s="9"/>
      <c r="J16" s="4" t="str">
        <f t="shared" si="4"/>
        <v>PASS</v>
      </c>
      <c r="K16" s="4" t="str">
        <f t="shared" si="5"/>
        <v>2ND DIVISION</v>
      </c>
    </row>
    <row r="17" spans="3:14" x14ac:dyDescent="0.25">
      <c r="C17" s="16" t="s">
        <v>64</v>
      </c>
      <c r="D17" s="4">
        <v>30</v>
      </c>
      <c r="E17" s="4">
        <v>20</v>
      </c>
      <c r="F17" s="4">
        <v>30</v>
      </c>
      <c r="G17" s="4">
        <f t="shared" si="6"/>
        <v>80</v>
      </c>
      <c r="H17" s="9">
        <f t="shared" si="7"/>
        <v>26.666666666666668</v>
      </c>
      <c r="I17" s="9"/>
      <c r="J17" s="4" t="str">
        <f t="shared" si="4"/>
        <v>FAIL</v>
      </c>
      <c r="K17" s="4" t="str">
        <f t="shared" si="5"/>
        <v>3RD DIVISION</v>
      </c>
      <c r="L17" t="str">
        <f>IF(H17&lt;50,"3rd DIVISION",IF(H18&lt;150,"2nd DIVISION","1st DIVISION"))</f>
        <v>3rd DIVISION</v>
      </c>
      <c r="N17" s="10"/>
    </row>
    <row r="18" spans="3:14" x14ac:dyDescent="0.25">
      <c r="C18" s="4" t="s">
        <v>65</v>
      </c>
      <c r="D18" s="4">
        <v>40</v>
      </c>
      <c r="E18" s="4">
        <v>15</v>
      </c>
      <c r="F18" s="4">
        <v>40</v>
      </c>
      <c r="G18" s="4">
        <f t="shared" si="6"/>
        <v>95</v>
      </c>
      <c r="H18" s="9">
        <f t="shared" si="7"/>
        <v>31.666666666666668</v>
      </c>
      <c r="I18" s="9"/>
      <c r="J18" s="4" t="str">
        <f t="shared" si="4"/>
        <v>FAIL</v>
      </c>
      <c r="K18" s="4" t="str">
        <f t="shared" si="5"/>
        <v>3RD DIVISION</v>
      </c>
    </row>
    <row r="19" spans="3:14" x14ac:dyDescent="0.25">
      <c r="C19" s="4" t="s">
        <v>66</v>
      </c>
      <c r="D19" s="4">
        <v>50</v>
      </c>
      <c r="E19" s="4">
        <v>15</v>
      </c>
      <c r="F19" s="4">
        <v>50</v>
      </c>
      <c r="G19" s="4">
        <f t="shared" si="6"/>
        <v>115</v>
      </c>
      <c r="H19" s="9">
        <f t="shared" si="7"/>
        <v>38.333333333333336</v>
      </c>
      <c r="I19" s="9"/>
      <c r="J19" s="4" t="str">
        <f t="shared" si="4"/>
        <v>FAIL</v>
      </c>
      <c r="K19" s="4" t="str">
        <f t="shared" si="5"/>
        <v>3RD DIVISION</v>
      </c>
    </row>
    <row r="20" spans="3:14" x14ac:dyDescent="0.25">
      <c r="C20" s="4" t="s">
        <v>67</v>
      </c>
      <c r="D20" s="4">
        <v>60</v>
      </c>
      <c r="E20" s="4">
        <v>14</v>
      </c>
      <c r="F20" s="4">
        <v>60</v>
      </c>
      <c r="G20" s="4">
        <f t="shared" si="6"/>
        <v>134</v>
      </c>
      <c r="H20" s="9">
        <f t="shared" si="7"/>
        <v>44.666666666666664</v>
      </c>
      <c r="I20" s="9"/>
      <c r="J20" s="4" t="str">
        <f t="shared" si="4"/>
        <v>FAIL</v>
      </c>
      <c r="K20" s="4" t="str">
        <f t="shared" si="5"/>
        <v>3RD DIVISION</v>
      </c>
    </row>
    <row r="21" spans="3:14" x14ac:dyDescent="0.25">
      <c r="C21" s="4" t="s">
        <v>68</v>
      </c>
      <c r="D21" s="4">
        <v>70</v>
      </c>
      <c r="E21" s="4">
        <v>100</v>
      </c>
      <c r="F21" s="4">
        <v>70</v>
      </c>
      <c r="G21" s="4">
        <f t="shared" si="6"/>
        <v>240</v>
      </c>
      <c r="H21" s="9">
        <f t="shared" si="7"/>
        <v>80</v>
      </c>
      <c r="I21" s="9"/>
      <c r="J21" s="4" t="str">
        <f t="shared" si="4"/>
        <v>PASS</v>
      </c>
      <c r="K21" s="4" t="str">
        <f t="shared" si="5"/>
        <v>2ND DIVISION</v>
      </c>
    </row>
    <row r="22" spans="3:14" x14ac:dyDescent="0.25">
      <c r="C22" s="4" t="s">
        <v>69</v>
      </c>
      <c r="D22" s="4">
        <v>80</v>
      </c>
      <c r="E22" s="4">
        <v>12</v>
      </c>
      <c r="F22" s="4">
        <v>80</v>
      </c>
      <c r="G22" s="4">
        <f t="shared" si="6"/>
        <v>172</v>
      </c>
      <c r="H22" s="9">
        <f t="shared" si="7"/>
        <v>57.333333333333336</v>
      </c>
      <c r="I22" s="9"/>
      <c r="J22" s="4" t="str">
        <f t="shared" si="4"/>
        <v>PASS</v>
      </c>
      <c r="K22" s="4" t="str">
        <f t="shared" si="5"/>
        <v>2ND DIVISION</v>
      </c>
    </row>
    <row r="23" spans="3:14" x14ac:dyDescent="0.25">
      <c r="C23" s="4" t="s">
        <v>70</v>
      </c>
      <c r="D23" s="4">
        <v>90</v>
      </c>
      <c r="E23" s="4">
        <v>11</v>
      </c>
      <c r="F23" s="4">
        <v>90</v>
      </c>
      <c r="G23" s="4">
        <f t="shared" si="6"/>
        <v>191</v>
      </c>
      <c r="H23" s="9">
        <f t="shared" si="7"/>
        <v>63.666666666666664</v>
      </c>
      <c r="I23" s="9"/>
      <c r="J23" s="4" t="str">
        <f t="shared" si="4"/>
        <v>PASS</v>
      </c>
      <c r="K23" s="4" t="str">
        <f t="shared" si="5"/>
        <v>2ND DIVISION</v>
      </c>
    </row>
    <row r="24" spans="3:14" x14ac:dyDescent="0.25">
      <c r="C24" s="4" t="s">
        <v>71</v>
      </c>
      <c r="D24" s="4">
        <v>100</v>
      </c>
      <c r="E24" s="4">
        <v>100</v>
      </c>
      <c r="F24" s="4">
        <v>100</v>
      </c>
      <c r="G24" s="4">
        <f t="shared" si="6"/>
        <v>300</v>
      </c>
      <c r="H24" s="9">
        <f t="shared" si="7"/>
        <v>100</v>
      </c>
      <c r="I24" s="9"/>
      <c r="J24" s="4" t="str">
        <f t="shared" si="4"/>
        <v>PASS</v>
      </c>
      <c r="K24" s="4" t="str">
        <f t="shared" si="5"/>
        <v>1ST DIVISION</v>
      </c>
    </row>
    <row r="25" spans="3:14" x14ac:dyDescent="0.25">
      <c r="C25" s="4"/>
      <c r="D25" s="4"/>
      <c r="E25" s="4"/>
      <c r="F25" s="4"/>
      <c r="G25" s="4" t="s">
        <v>82</v>
      </c>
      <c r="H25" s="4" t="s">
        <v>82</v>
      </c>
      <c r="I25" s="9"/>
      <c r="J25" s="4" t="s">
        <v>82</v>
      </c>
      <c r="K25" s="4" t="s">
        <v>82</v>
      </c>
    </row>
    <row r="26" spans="3:14" x14ac:dyDescent="0.25">
      <c r="C26" s="16" t="s">
        <v>62</v>
      </c>
      <c r="D26" s="4">
        <v>10</v>
      </c>
      <c r="E26" s="4">
        <v>20</v>
      </c>
      <c r="F26" s="4">
        <v>10</v>
      </c>
      <c r="G26" s="4">
        <f>SUM(D26:F26)</f>
        <v>40</v>
      </c>
      <c r="H26" s="9">
        <f>G26*100/300</f>
        <v>13.333333333333334</v>
      </c>
      <c r="I26" s="9"/>
      <c r="J26" s="4" t="str">
        <f t="shared" ref="J26:J35" si="8">IF(G26&lt;150,"FAIL","PASS")</f>
        <v>FAIL</v>
      </c>
      <c r="K26" s="4" t="str">
        <f t="shared" ref="K26:K35" si="9">IF(G26&lt;150,"3RD DIVISION",IF(G26&lt;250,"2ND DIVISION","1ST DIVISION"))</f>
        <v>3RD DIVISION</v>
      </c>
    </row>
    <row r="27" spans="3:14" x14ac:dyDescent="0.25">
      <c r="C27" s="4" t="s">
        <v>63</v>
      </c>
      <c r="D27" s="4">
        <v>100</v>
      </c>
      <c r="E27" s="4">
        <v>15</v>
      </c>
      <c r="F27" s="4">
        <v>100</v>
      </c>
      <c r="G27" s="4">
        <f t="shared" ref="G27:G35" si="10">SUM(D27:F27)</f>
        <v>215</v>
      </c>
      <c r="H27" s="9">
        <f t="shared" ref="H27:H35" si="11">G27*100/300</f>
        <v>71.666666666666671</v>
      </c>
      <c r="I27" s="9"/>
      <c r="J27" s="4" t="str">
        <f t="shared" si="8"/>
        <v>PASS</v>
      </c>
      <c r="K27" s="4" t="str">
        <f t="shared" si="9"/>
        <v>2ND DIVISION</v>
      </c>
    </row>
    <row r="28" spans="3:14" x14ac:dyDescent="0.25">
      <c r="C28" s="16" t="s">
        <v>64</v>
      </c>
      <c r="D28" s="4">
        <v>30</v>
      </c>
      <c r="E28" s="4">
        <v>20</v>
      </c>
      <c r="F28" s="4">
        <v>30</v>
      </c>
      <c r="G28" s="4">
        <f t="shared" si="10"/>
        <v>80</v>
      </c>
      <c r="H28" s="9">
        <f t="shared" si="11"/>
        <v>26.666666666666668</v>
      </c>
      <c r="I28" s="9"/>
      <c r="J28" s="4" t="str">
        <f t="shared" si="8"/>
        <v>FAIL</v>
      </c>
      <c r="K28" s="4" t="str">
        <f t="shared" si="9"/>
        <v>3RD DIVISION</v>
      </c>
    </row>
    <row r="29" spans="3:14" x14ac:dyDescent="0.25">
      <c r="C29" s="4" t="s">
        <v>65</v>
      </c>
      <c r="D29" s="4">
        <v>40</v>
      </c>
      <c r="E29" s="4">
        <v>15</v>
      </c>
      <c r="F29" s="4">
        <v>40</v>
      </c>
      <c r="G29" s="4">
        <f t="shared" si="10"/>
        <v>95</v>
      </c>
      <c r="H29" s="9">
        <f t="shared" si="11"/>
        <v>31.666666666666668</v>
      </c>
      <c r="I29" s="9"/>
      <c r="J29" s="4" t="str">
        <f t="shared" si="8"/>
        <v>FAIL</v>
      </c>
      <c r="K29" s="4" t="str">
        <f t="shared" si="9"/>
        <v>3RD DIVISION</v>
      </c>
    </row>
    <row r="30" spans="3:14" x14ac:dyDescent="0.25">
      <c r="C30" s="4" t="s">
        <v>66</v>
      </c>
      <c r="D30" s="4">
        <v>50</v>
      </c>
      <c r="E30" s="4">
        <v>15</v>
      </c>
      <c r="F30" s="4">
        <v>50</v>
      </c>
      <c r="G30" s="4">
        <f t="shared" si="10"/>
        <v>115</v>
      </c>
      <c r="H30" s="9">
        <f t="shared" si="11"/>
        <v>38.333333333333336</v>
      </c>
      <c r="I30" s="9"/>
      <c r="J30" s="4" t="str">
        <f t="shared" si="8"/>
        <v>FAIL</v>
      </c>
      <c r="K30" s="4" t="str">
        <f t="shared" si="9"/>
        <v>3RD DIVISION</v>
      </c>
    </row>
    <row r="31" spans="3:14" x14ac:dyDescent="0.25">
      <c r="C31" s="4" t="s">
        <v>67</v>
      </c>
      <c r="D31" s="4">
        <v>60</v>
      </c>
      <c r="E31" s="4">
        <v>14</v>
      </c>
      <c r="F31" s="4">
        <v>60</v>
      </c>
      <c r="G31" s="4">
        <f t="shared" si="10"/>
        <v>134</v>
      </c>
      <c r="H31" s="9">
        <f t="shared" si="11"/>
        <v>44.666666666666664</v>
      </c>
      <c r="I31" s="9"/>
      <c r="J31" s="4" t="str">
        <f t="shared" si="8"/>
        <v>FAIL</v>
      </c>
      <c r="K31" s="4" t="str">
        <f t="shared" si="9"/>
        <v>3RD DIVISION</v>
      </c>
    </row>
    <row r="32" spans="3:14" x14ac:dyDescent="0.25">
      <c r="C32" s="4" t="s">
        <v>68</v>
      </c>
      <c r="D32" s="4">
        <v>70</v>
      </c>
      <c r="E32" s="4">
        <v>100</v>
      </c>
      <c r="F32" s="4">
        <v>70</v>
      </c>
      <c r="G32" s="4">
        <f t="shared" si="10"/>
        <v>240</v>
      </c>
      <c r="H32" s="9">
        <f t="shared" si="11"/>
        <v>80</v>
      </c>
      <c r="I32" s="9"/>
      <c r="J32" s="4" t="str">
        <f t="shared" si="8"/>
        <v>PASS</v>
      </c>
      <c r="K32" s="4" t="str">
        <f t="shared" si="9"/>
        <v>2ND DIVISION</v>
      </c>
    </row>
    <row r="33" spans="3:11" x14ac:dyDescent="0.25">
      <c r="C33" s="4" t="s">
        <v>69</v>
      </c>
      <c r="D33" s="4">
        <v>80</v>
      </c>
      <c r="E33" s="4">
        <v>12</v>
      </c>
      <c r="F33" s="4">
        <v>80</v>
      </c>
      <c r="G33" s="4">
        <f t="shared" si="10"/>
        <v>172</v>
      </c>
      <c r="H33" s="9">
        <f t="shared" si="11"/>
        <v>57.333333333333336</v>
      </c>
      <c r="I33" s="9"/>
      <c r="J33" s="4" t="str">
        <f t="shared" si="8"/>
        <v>PASS</v>
      </c>
      <c r="K33" s="4" t="str">
        <f t="shared" si="9"/>
        <v>2ND DIVISION</v>
      </c>
    </row>
    <row r="34" spans="3:11" x14ac:dyDescent="0.25">
      <c r="C34" s="4" t="s">
        <v>70</v>
      </c>
      <c r="D34" s="4">
        <v>90</v>
      </c>
      <c r="E34" s="4">
        <v>11</v>
      </c>
      <c r="F34" s="4">
        <v>90</v>
      </c>
      <c r="G34" s="4">
        <f t="shared" si="10"/>
        <v>191</v>
      </c>
      <c r="H34" s="9">
        <f t="shared" si="11"/>
        <v>63.666666666666664</v>
      </c>
      <c r="I34" s="9"/>
      <c r="J34" s="4" t="str">
        <f t="shared" si="8"/>
        <v>PASS</v>
      </c>
      <c r="K34" s="4" t="str">
        <f t="shared" si="9"/>
        <v>2ND DIVISION</v>
      </c>
    </row>
    <row r="35" spans="3:11" x14ac:dyDescent="0.25">
      <c r="C35" s="4" t="s">
        <v>71</v>
      </c>
      <c r="D35" s="4">
        <v>100</v>
      </c>
      <c r="E35" s="4">
        <v>100</v>
      </c>
      <c r="F35" s="4">
        <v>100</v>
      </c>
      <c r="G35" s="4">
        <f t="shared" si="10"/>
        <v>300</v>
      </c>
      <c r="H35" s="9">
        <f t="shared" si="11"/>
        <v>100</v>
      </c>
      <c r="I35" s="9"/>
      <c r="J35" s="4" t="str">
        <f t="shared" si="8"/>
        <v>PASS</v>
      </c>
      <c r="K35" s="4" t="str">
        <f t="shared" si="9"/>
        <v>1ST DIVISION</v>
      </c>
    </row>
    <row r="36" spans="3:11" x14ac:dyDescent="0.25">
      <c r="C36" s="4"/>
      <c r="D36" s="4"/>
      <c r="E36" s="4"/>
      <c r="F36" s="4"/>
      <c r="G36" s="4" t="s">
        <v>82</v>
      </c>
      <c r="H36" s="4" t="s">
        <v>82</v>
      </c>
      <c r="I36" s="9"/>
      <c r="J36" s="4" t="s">
        <v>82</v>
      </c>
      <c r="K36" s="4" t="s">
        <v>82</v>
      </c>
    </row>
    <row r="37" spans="3:11" x14ac:dyDescent="0.25">
      <c r="C37" s="16" t="s">
        <v>62</v>
      </c>
      <c r="D37" s="4">
        <v>10</v>
      </c>
      <c r="E37" s="4">
        <v>20</v>
      </c>
      <c r="F37" s="4">
        <v>10</v>
      </c>
      <c r="G37" s="4">
        <f>SUM(D37:F37)</f>
        <v>40</v>
      </c>
      <c r="H37" s="9">
        <f>G37*100/300</f>
        <v>13.333333333333334</v>
      </c>
      <c r="I37" s="9"/>
      <c r="J37" s="4" t="str">
        <f t="shared" ref="J37:J46" si="12">IF(G37&lt;150,"FAIL","PASS")</f>
        <v>FAIL</v>
      </c>
      <c r="K37" s="4" t="str">
        <f t="shared" ref="K37:K46" si="13">IF(G37&lt;150,"3RD DIVISION",IF(G37&lt;250,"2ND DIVISION","1ST DIVISION"))</f>
        <v>3RD DIVISION</v>
      </c>
    </row>
    <row r="38" spans="3:11" x14ac:dyDescent="0.25">
      <c r="C38" s="4" t="s">
        <v>63</v>
      </c>
      <c r="D38" s="4">
        <v>100</v>
      </c>
      <c r="E38" s="4">
        <v>15</v>
      </c>
      <c r="F38" s="4">
        <v>100</v>
      </c>
      <c r="G38" s="4">
        <f t="shared" ref="G38:G46" si="14">SUM(D38:F38)</f>
        <v>215</v>
      </c>
      <c r="H38" s="9">
        <f t="shared" ref="H38:H46" si="15">G38*100/300</f>
        <v>71.666666666666671</v>
      </c>
      <c r="I38" s="9"/>
      <c r="J38" s="4" t="str">
        <f t="shared" si="12"/>
        <v>PASS</v>
      </c>
      <c r="K38" s="4" t="str">
        <f t="shared" si="13"/>
        <v>2ND DIVISION</v>
      </c>
    </row>
    <row r="39" spans="3:11" x14ac:dyDescent="0.25">
      <c r="C39" s="16" t="s">
        <v>64</v>
      </c>
      <c r="D39" s="4">
        <v>30</v>
      </c>
      <c r="E39" s="4">
        <v>20</v>
      </c>
      <c r="F39" s="4">
        <v>30</v>
      </c>
      <c r="G39" s="4">
        <f t="shared" si="14"/>
        <v>80</v>
      </c>
      <c r="H39" s="9">
        <f t="shared" si="15"/>
        <v>26.666666666666668</v>
      </c>
      <c r="I39" s="9"/>
      <c r="J39" s="4" t="str">
        <f t="shared" si="12"/>
        <v>FAIL</v>
      </c>
      <c r="K39" s="4" t="str">
        <f t="shared" si="13"/>
        <v>3RD DIVISION</v>
      </c>
    </row>
    <row r="40" spans="3:11" x14ac:dyDescent="0.25">
      <c r="C40" s="4" t="s">
        <v>65</v>
      </c>
      <c r="D40" s="4">
        <v>40</v>
      </c>
      <c r="E40" s="4">
        <v>15</v>
      </c>
      <c r="F40" s="4">
        <v>40</v>
      </c>
      <c r="G40" s="4">
        <f t="shared" si="14"/>
        <v>95</v>
      </c>
      <c r="H40" s="9">
        <f t="shared" si="15"/>
        <v>31.666666666666668</v>
      </c>
      <c r="I40" s="9"/>
      <c r="J40" s="4" t="str">
        <f t="shared" si="12"/>
        <v>FAIL</v>
      </c>
      <c r="K40" s="4" t="str">
        <f t="shared" si="13"/>
        <v>3RD DIVISION</v>
      </c>
    </row>
    <row r="41" spans="3:11" x14ac:dyDescent="0.25">
      <c r="C41" s="4" t="s">
        <v>66</v>
      </c>
      <c r="D41" s="4">
        <v>50</v>
      </c>
      <c r="E41" s="4">
        <v>15</v>
      </c>
      <c r="F41" s="4">
        <v>50</v>
      </c>
      <c r="G41" s="4">
        <f t="shared" si="14"/>
        <v>115</v>
      </c>
      <c r="H41" s="9">
        <f t="shared" si="15"/>
        <v>38.333333333333336</v>
      </c>
      <c r="I41" s="9"/>
      <c r="J41" s="4" t="str">
        <f t="shared" si="12"/>
        <v>FAIL</v>
      </c>
      <c r="K41" s="4" t="str">
        <f t="shared" si="13"/>
        <v>3RD DIVISION</v>
      </c>
    </row>
    <row r="42" spans="3:11" x14ac:dyDescent="0.25">
      <c r="C42" s="4" t="s">
        <v>67</v>
      </c>
      <c r="D42" s="4">
        <v>60</v>
      </c>
      <c r="E42" s="4">
        <v>14</v>
      </c>
      <c r="F42" s="4">
        <v>60</v>
      </c>
      <c r="G42" s="4">
        <f t="shared" si="14"/>
        <v>134</v>
      </c>
      <c r="H42" s="9">
        <f t="shared" si="15"/>
        <v>44.666666666666664</v>
      </c>
      <c r="I42" s="9"/>
      <c r="J42" s="4" t="str">
        <f t="shared" si="12"/>
        <v>FAIL</v>
      </c>
      <c r="K42" s="4" t="str">
        <f t="shared" si="13"/>
        <v>3RD DIVISION</v>
      </c>
    </row>
    <row r="43" spans="3:11" x14ac:dyDescent="0.25">
      <c r="C43" s="4" t="s">
        <v>68</v>
      </c>
      <c r="D43" s="4">
        <v>70</v>
      </c>
      <c r="E43" s="4">
        <v>100</v>
      </c>
      <c r="F43" s="4">
        <v>70</v>
      </c>
      <c r="G43" s="4">
        <f t="shared" si="14"/>
        <v>240</v>
      </c>
      <c r="H43" s="9">
        <f t="shared" si="15"/>
        <v>80</v>
      </c>
      <c r="I43" s="9"/>
      <c r="J43" s="4" t="str">
        <f t="shared" si="12"/>
        <v>PASS</v>
      </c>
      <c r="K43" s="4" t="str">
        <f t="shared" si="13"/>
        <v>2ND DIVISION</v>
      </c>
    </row>
    <row r="44" spans="3:11" x14ac:dyDescent="0.25">
      <c r="C44" s="4" t="s">
        <v>69</v>
      </c>
      <c r="D44" s="4">
        <v>80</v>
      </c>
      <c r="E44" s="4">
        <v>12</v>
      </c>
      <c r="F44" s="4">
        <v>80</v>
      </c>
      <c r="G44" s="4">
        <f t="shared" si="14"/>
        <v>172</v>
      </c>
      <c r="H44" s="9">
        <f t="shared" si="15"/>
        <v>57.333333333333336</v>
      </c>
      <c r="I44" s="9"/>
      <c r="J44" s="4" t="str">
        <f t="shared" si="12"/>
        <v>PASS</v>
      </c>
      <c r="K44" s="4" t="str">
        <f t="shared" si="13"/>
        <v>2ND DIVISION</v>
      </c>
    </row>
    <row r="45" spans="3:11" x14ac:dyDescent="0.25">
      <c r="C45" s="4" t="s">
        <v>70</v>
      </c>
      <c r="D45" s="4">
        <v>90</v>
      </c>
      <c r="E45" s="4">
        <v>11</v>
      </c>
      <c r="F45" s="4">
        <v>90</v>
      </c>
      <c r="G45" s="4">
        <f t="shared" si="14"/>
        <v>191</v>
      </c>
      <c r="H45" s="9">
        <f t="shared" si="15"/>
        <v>63.666666666666664</v>
      </c>
      <c r="I45" s="9"/>
      <c r="J45" s="4" t="str">
        <f t="shared" si="12"/>
        <v>PASS</v>
      </c>
      <c r="K45" s="4" t="str">
        <f t="shared" si="13"/>
        <v>2ND DIVISION</v>
      </c>
    </row>
    <row r="46" spans="3:11" x14ac:dyDescent="0.25">
      <c r="C46" s="4" t="s">
        <v>71</v>
      </c>
      <c r="D46" s="4">
        <v>100</v>
      </c>
      <c r="E46" s="4">
        <v>100</v>
      </c>
      <c r="F46" s="4">
        <v>100</v>
      </c>
      <c r="G46" s="4">
        <f t="shared" si="14"/>
        <v>300</v>
      </c>
      <c r="H46" s="9">
        <f t="shared" si="15"/>
        <v>100</v>
      </c>
      <c r="I46" s="9"/>
      <c r="J46" s="4" t="str">
        <f t="shared" si="12"/>
        <v>PASS</v>
      </c>
      <c r="K46" s="4" t="str">
        <f t="shared" si="13"/>
        <v>1ST DIVISION</v>
      </c>
    </row>
    <row r="47" spans="3:11" x14ac:dyDescent="0.25">
      <c r="C47" s="4"/>
      <c r="D47" s="4"/>
      <c r="E47" s="4"/>
      <c r="F47" s="4"/>
      <c r="G47" s="4" t="s">
        <v>82</v>
      </c>
      <c r="H47" s="4" t="s">
        <v>82</v>
      </c>
      <c r="I47" s="9"/>
      <c r="J47" s="4" t="s">
        <v>82</v>
      </c>
      <c r="K47" s="4" t="s">
        <v>82</v>
      </c>
    </row>
    <row r="48" spans="3:11" x14ac:dyDescent="0.25">
      <c r="C48" s="16" t="s">
        <v>62</v>
      </c>
      <c r="D48" s="4">
        <v>10</v>
      </c>
      <c r="E48" s="4">
        <v>20</v>
      </c>
      <c r="F48" s="4">
        <v>10</v>
      </c>
      <c r="G48" s="4">
        <f>SUM(D48:F48)</f>
        <v>40</v>
      </c>
      <c r="H48" s="9">
        <f>G48*100/300</f>
        <v>13.333333333333334</v>
      </c>
      <c r="I48" s="9"/>
      <c r="J48" s="4" t="str">
        <f t="shared" ref="J48:J57" si="16">IF(G48&lt;150,"FAIL","PASS")</f>
        <v>FAIL</v>
      </c>
      <c r="K48" s="4" t="str">
        <f t="shared" ref="K48:K57" si="17">IF(G48&lt;150,"3RD DIVISION",IF(G48&lt;250,"2ND DIVISION","1ST DIVISION"))</f>
        <v>3RD DIVISION</v>
      </c>
    </row>
    <row r="49" spans="3:11" x14ac:dyDescent="0.25">
      <c r="C49" s="4" t="s">
        <v>63</v>
      </c>
      <c r="D49" s="4">
        <v>100</v>
      </c>
      <c r="E49" s="4">
        <v>15</v>
      </c>
      <c r="F49" s="4">
        <v>100</v>
      </c>
      <c r="G49" s="4">
        <f t="shared" ref="G49:G57" si="18">SUM(D49:F49)</f>
        <v>215</v>
      </c>
      <c r="H49" s="9">
        <f t="shared" ref="H49:H57" si="19">G49*100/300</f>
        <v>71.666666666666671</v>
      </c>
      <c r="I49" s="9"/>
      <c r="J49" s="4" t="str">
        <f t="shared" si="16"/>
        <v>PASS</v>
      </c>
      <c r="K49" s="4" t="str">
        <f t="shared" si="17"/>
        <v>2ND DIVISION</v>
      </c>
    </row>
    <row r="50" spans="3:11" x14ac:dyDescent="0.25">
      <c r="C50" s="16" t="s">
        <v>64</v>
      </c>
      <c r="D50" s="4">
        <v>30</v>
      </c>
      <c r="E50" s="4">
        <v>20</v>
      </c>
      <c r="F50" s="4">
        <v>30</v>
      </c>
      <c r="G50" s="4">
        <f t="shared" si="18"/>
        <v>80</v>
      </c>
      <c r="H50" s="9">
        <f t="shared" si="19"/>
        <v>26.666666666666668</v>
      </c>
      <c r="I50" s="9"/>
      <c r="J50" s="4" t="str">
        <f t="shared" si="16"/>
        <v>FAIL</v>
      </c>
      <c r="K50" s="4" t="str">
        <f t="shared" si="17"/>
        <v>3RD DIVISION</v>
      </c>
    </row>
    <row r="51" spans="3:11" x14ac:dyDescent="0.25">
      <c r="C51" s="4" t="s">
        <v>65</v>
      </c>
      <c r="D51" s="4">
        <v>40</v>
      </c>
      <c r="E51" s="4">
        <v>15</v>
      </c>
      <c r="F51" s="4">
        <v>40</v>
      </c>
      <c r="G51" s="4">
        <f t="shared" si="18"/>
        <v>95</v>
      </c>
      <c r="H51" s="9">
        <f t="shared" si="19"/>
        <v>31.666666666666668</v>
      </c>
      <c r="I51" s="9"/>
      <c r="J51" s="4" t="str">
        <f t="shared" si="16"/>
        <v>FAIL</v>
      </c>
      <c r="K51" s="4" t="str">
        <f t="shared" si="17"/>
        <v>3RD DIVISION</v>
      </c>
    </row>
    <row r="52" spans="3:11" x14ac:dyDescent="0.25">
      <c r="C52" s="4" t="s">
        <v>66</v>
      </c>
      <c r="D52" s="4">
        <v>50</v>
      </c>
      <c r="E52" s="4">
        <v>15</v>
      </c>
      <c r="F52" s="4">
        <v>50</v>
      </c>
      <c r="G52" s="4">
        <f t="shared" si="18"/>
        <v>115</v>
      </c>
      <c r="H52" s="9">
        <f t="shared" si="19"/>
        <v>38.333333333333336</v>
      </c>
      <c r="I52" s="9"/>
      <c r="J52" s="4" t="str">
        <f t="shared" si="16"/>
        <v>FAIL</v>
      </c>
      <c r="K52" s="4" t="str">
        <f t="shared" si="17"/>
        <v>3RD DIVISION</v>
      </c>
    </row>
    <row r="53" spans="3:11" x14ac:dyDescent="0.25">
      <c r="C53" s="4" t="s">
        <v>67</v>
      </c>
      <c r="D53" s="4">
        <v>60</v>
      </c>
      <c r="E53" s="4">
        <v>14</v>
      </c>
      <c r="F53" s="4">
        <v>60</v>
      </c>
      <c r="G53" s="4">
        <f t="shared" si="18"/>
        <v>134</v>
      </c>
      <c r="H53" s="9">
        <f t="shared" si="19"/>
        <v>44.666666666666664</v>
      </c>
      <c r="I53" s="9"/>
      <c r="J53" s="4" t="str">
        <f t="shared" si="16"/>
        <v>FAIL</v>
      </c>
      <c r="K53" s="4" t="str">
        <f t="shared" si="17"/>
        <v>3RD DIVISION</v>
      </c>
    </row>
    <row r="54" spans="3:11" x14ac:dyDescent="0.25">
      <c r="C54" s="4" t="s">
        <v>68</v>
      </c>
      <c r="D54" s="4">
        <v>70</v>
      </c>
      <c r="E54" s="4">
        <v>100</v>
      </c>
      <c r="F54" s="4">
        <v>70</v>
      </c>
      <c r="G54" s="4">
        <f t="shared" si="18"/>
        <v>240</v>
      </c>
      <c r="H54" s="9">
        <f t="shared" si="19"/>
        <v>80</v>
      </c>
      <c r="I54" s="9"/>
      <c r="J54" s="4" t="str">
        <f t="shared" si="16"/>
        <v>PASS</v>
      </c>
      <c r="K54" s="4" t="str">
        <f t="shared" si="17"/>
        <v>2ND DIVISION</v>
      </c>
    </row>
    <row r="55" spans="3:11" x14ac:dyDescent="0.25">
      <c r="C55" s="4" t="s">
        <v>69</v>
      </c>
      <c r="D55" s="4">
        <v>80</v>
      </c>
      <c r="E55" s="4">
        <v>12</v>
      </c>
      <c r="F55" s="4">
        <v>80</v>
      </c>
      <c r="G55" s="4">
        <f t="shared" si="18"/>
        <v>172</v>
      </c>
      <c r="H55" s="9">
        <f t="shared" si="19"/>
        <v>57.333333333333336</v>
      </c>
      <c r="I55" s="9"/>
      <c r="J55" s="4" t="str">
        <f t="shared" si="16"/>
        <v>PASS</v>
      </c>
      <c r="K55" s="4" t="str">
        <f t="shared" si="17"/>
        <v>2ND DIVISION</v>
      </c>
    </row>
    <row r="56" spans="3:11" x14ac:dyDescent="0.25">
      <c r="C56" s="4" t="s">
        <v>70</v>
      </c>
      <c r="D56" s="4">
        <v>90</v>
      </c>
      <c r="E56" s="4">
        <v>11</v>
      </c>
      <c r="F56" s="4">
        <v>90</v>
      </c>
      <c r="G56" s="4">
        <f t="shared" si="18"/>
        <v>191</v>
      </c>
      <c r="H56" s="9">
        <f t="shared" si="19"/>
        <v>63.666666666666664</v>
      </c>
      <c r="I56" s="9"/>
      <c r="J56" s="4" t="str">
        <f t="shared" si="16"/>
        <v>PASS</v>
      </c>
      <c r="K56" s="4" t="str">
        <f t="shared" si="17"/>
        <v>2ND DIVISION</v>
      </c>
    </row>
    <row r="57" spans="3:11" x14ac:dyDescent="0.25">
      <c r="C57" s="4" t="s">
        <v>71</v>
      </c>
      <c r="D57" s="4">
        <v>100</v>
      </c>
      <c r="E57" s="4">
        <v>100</v>
      </c>
      <c r="F57" s="4">
        <v>100</v>
      </c>
      <c r="G57" s="4">
        <f t="shared" si="18"/>
        <v>300</v>
      </c>
      <c r="H57" s="9">
        <f t="shared" si="19"/>
        <v>100</v>
      </c>
      <c r="I57" s="9"/>
      <c r="J57" s="4" t="str">
        <f t="shared" si="16"/>
        <v>PASS</v>
      </c>
      <c r="K57" s="4" t="str">
        <f t="shared" si="17"/>
        <v>1ST DIVISION</v>
      </c>
    </row>
    <row r="58" spans="3:11" x14ac:dyDescent="0.25">
      <c r="C58" s="4"/>
      <c r="D58" s="4"/>
      <c r="E58" s="4"/>
      <c r="F58" s="4"/>
      <c r="G58" s="4" t="s">
        <v>82</v>
      </c>
      <c r="H58" s="4" t="s">
        <v>82</v>
      </c>
      <c r="I58" s="9"/>
      <c r="J58" s="4" t="s">
        <v>82</v>
      </c>
      <c r="K58" s="4" t="s">
        <v>82</v>
      </c>
    </row>
  </sheetData>
  <phoneticPr fontId="1" type="noConversion"/>
  <conditionalFormatting sqref="J4:J13">
    <cfRule type="containsText" dxfId="9" priority="9" operator="containsText" text="FAIL">
      <formula>NOT(ISERROR(SEARCH("FAIL",J4)))</formula>
    </cfRule>
    <cfRule type="containsText" dxfId="8" priority="10" operator="containsText" text="PASS">
      <formula>NOT(ISERROR(SEARCH("PASS",J4)))</formula>
    </cfRule>
  </conditionalFormatting>
  <conditionalFormatting sqref="J15:J24">
    <cfRule type="containsText" dxfId="7" priority="7" operator="containsText" text="FAIL">
      <formula>NOT(ISERROR(SEARCH("FAIL",J15)))</formula>
    </cfRule>
    <cfRule type="containsText" dxfId="6" priority="8" operator="containsText" text="PASS">
      <formula>NOT(ISERROR(SEARCH("PASS",J15)))</formula>
    </cfRule>
  </conditionalFormatting>
  <conditionalFormatting sqref="J26:J35">
    <cfRule type="containsText" dxfId="5" priority="5" operator="containsText" text="FAIL">
      <formula>NOT(ISERROR(SEARCH("FAIL",J26)))</formula>
    </cfRule>
    <cfRule type="containsText" dxfId="4" priority="6" operator="containsText" text="PASS">
      <formula>NOT(ISERROR(SEARCH("PASS",J26)))</formula>
    </cfRule>
  </conditionalFormatting>
  <conditionalFormatting sqref="J37:J46">
    <cfRule type="containsText" dxfId="3" priority="3" operator="containsText" text="FAIL">
      <formula>NOT(ISERROR(SEARCH("FAIL",J37)))</formula>
    </cfRule>
    <cfRule type="containsText" dxfId="2" priority="4" operator="containsText" text="PASS">
      <formula>NOT(ISERROR(SEARCH("PASS",J37)))</formula>
    </cfRule>
  </conditionalFormatting>
  <conditionalFormatting sqref="J48:J57">
    <cfRule type="containsText" dxfId="1" priority="1" operator="containsText" text="FAIL">
      <formula>NOT(ISERROR(SEARCH("FAIL",J48)))</formula>
    </cfRule>
    <cfRule type="containsText" dxfId="0" priority="2" operator="containsText" text="PASS">
      <formula>NOT(ISERROR(SEARCH("PASS",J48)))</formula>
    </cfRule>
  </conditionalFormatting>
  <hyperlinks>
    <hyperlink ref="C4" r:id="rId1" xr:uid="{B437F22F-9A49-46E0-A4CB-9EF64215DD03}"/>
    <hyperlink ref="C6" r:id="rId2" xr:uid="{34AC749C-D3C8-4355-A062-054445F8644D}"/>
    <hyperlink ref="C15" r:id="rId3" xr:uid="{ABC5D094-82BB-427D-BB4E-7921C25265BB}"/>
    <hyperlink ref="C17" r:id="rId4" xr:uid="{E1246C24-664D-45C4-930F-F61C7C3225FE}"/>
    <hyperlink ref="C26" r:id="rId5" xr:uid="{BD232143-D79B-405B-B26E-7CDABDAF7FBE}"/>
    <hyperlink ref="C28" r:id="rId6" xr:uid="{99AD8914-32D5-48A3-BB9F-76A25B1C922D}"/>
    <hyperlink ref="C37" r:id="rId7" xr:uid="{382CDBCC-20AC-4F96-A4DD-3F5254065C1B}"/>
    <hyperlink ref="C39" r:id="rId8" xr:uid="{10590DD5-A2AB-4D00-994F-680B977E2AAF}"/>
    <hyperlink ref="C48" r:id="rId9" xr:uid="{26F2A610-4B36-420F-8EB8-2AA89FA70FAC}"/>
    <hyperlink ref="C50" r:id="rId10" xr:uid="{462A5A9E-6DF2-4FD1-91F8-3624C9CEDA0E}"/>
  </hyperlinks>
  <printOptions gridLines="1"/>
  <pageMargins left="0.7" right="0.7" top="0.75" bottom="0.75" header="0.3" footer="0.3"/>
  <pageSetup scale="55" orientation="landscape" r:id="rId1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50F10515-E618-43E3-B652-BE7162F8C04D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Sheet4!D48:H48</xm:f>
              <xm:sqref>I48</xm:sqref>
            </x14:sparkline>
            <x14:sparkline>
              <xm:f>Sheet4!D49:H49</xm:f>
              <xm:sqref>I49</xm:sqref>
            </x14:sparkline>
            <x14:sparkline>
              <xm:f>Sheet4!D50:H50</xm:f>
              <xm:sqref>I50</xm:sqref>
            </x14:sparkline>
            <x14:sparkline>
              <xm:f>Sheet4!D51:H51</xm:f>
              <xm:sqref>I51</xm:sqref>
            </x14:sparkline>
            <x14:sparkline>
              <xm:f>Sheet4!D52:H52</xm:f>
              <xm:sqref>I52</xm:sqref>
            </x14:sparkline>
            <x14:sparkline>
              <xm:f>Sheet4!D53:H53</xm:f>
              <xm:sqref>I53</xm:sqref>
            </x14:sparkline>
            <x14:sparkline>
              <xm:f>Sheet4!D54:H54</xm:f>
              <xm:sqref>I54</xm:sqref>
            </x14:sparkline>
            <x14:sparkline>
              <xm:f>Sheet4!D55:H55</xm:f>
              <xm:sqref>I55</xm:sqref>
            </x14:sparkline>
            <x14:sparkline>
              <xm:f>Sheet4!D56:H56</xm:f>
              <xm:sqref>I56</xm:sqref>
            </x14:sparkline>
            <x14:sparkline>
              <xm:f>Sheet4!D57:H57</xm:f>
              <xm:sqref>I57</xm:sqref>
            </x14:sparkline>
            <x14:sparkline>
              <xm:f>Sheet4!D58:H58</xm:f>
              <xm:sqref>I58</xm:sqref>
            </x14:sparkline>
          </x14:sparklines>
        </x14:sparklineGroup>
        <x14:sparklineGroup type="column" displayEmptyCellsAs="gap" xr2:uid="{ABEB1769-2D7B-486E-9132-B14130FD3746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Sheet4!D37:H37</xm:f>
              <xm:sqref>I37</xm:sqref>
            </x14:sparkline>
            <x14:sparkline>
              <xm:f>Sheet4!D38:H38</xm:f>
              <xm:sqref>I38</xm:sqref>
            </x14:sparkline>
            <x14:sparkline>
              <xm:f>Sheet4!D39:H39</xm:f>
              <xm:sqref>I39</xm:sqref>
            </x14:sparkline>
            <x14:sparkline>
              <xm:f>Sheet4!D40:H40</xm:f>
              <xm:sqref>I40</xm:sqref>
            </x14:sparkline>
            <x14:sparkline>
              <xm:f>Sheet4!D41:H41</xm:f>
              <xm:sqref>I41</xm:sqref>
            </x14:sparkline>
            <x14:sparkline>
              <xm:f>Sheet4!D42:H42</xm:f>
              <xm:sqref>I42</xm:sqref>
            </x14:sparkline>
            <x14:sparkline>
              <xm:f>Sheet4!D43:H43</xm:f>
              <xm:sqref>I43</xm:sqref>
            </x14:sparkline>
            <x14:sparkline>
              <xm:f>Sheet4!D44:H44</xm:f>
              <xm:sqref>I44</xm:sqref>
            </x14:sparkline>
            <x14:sparkline>
              <xm:f>Sheet4!D45:H45</xm:f>
              <xm:sqref>I45</xm:sqref>
            </x14:sparkline>
            <x14:sparkline>
              <xm:f>Sheet4!D46:H46</xm:f>
              <xm:sqref>I46</xm:sqref>
            </x14:sparkline>
            <x14:sparkline>
              <xm:f>Sheet4!D47:H47</xm:f>
              <xm:sqref>I47</xm:sqref>
            </x14:sparkline>
          </x14:sparklines>
        </x14:sparklineGroup>
        <x14:sparklineGroup type="column" displayEmptyCellsAs="gap" xr2:uid="{EF032FAE-F4F0-4623-8A52-161568B6E5A9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Sheet4!D26:H26</xm:f>
              <xm:sqref>I26</xm:sqref>
            </x14:sparkline>
            <x14:sparkline>
              <xm:f>Sheet4!D27:H27</xm:f>
              <xm:sqref>I27</xm:sqref>
            </x14:sparkline>
            <x14:sparkline>
              <xm:f>Sheet4!D28:H28</xm:f>
              <xm:sqref>I28</xm:sqref>
            </x14:sparkline>
            <x14:sparkline>
              <xm:f>Sheet4!D29:H29</xm:f>
              <xm:sqref>I29</xm:sqref>
            </x14:sparkline>
            <x14:sparkline>
              <xm:f>Sheet4!D30:H30</xm:f>
              <xm:sqref>I30</xm:sqref>
            </x14:sparkline>
            <x14:sparkline>
              <xm:f>Sheet4!D31:H31</xm:f>
              <xm:sqref>I31</xm:sqref>
            </x14:sparkline>
            <x14:sparkline>
              <xm:f>Sheet4!D32:H32</xm:f>
              <xm:sqref>I32</xm:sqref>
            </x14:sparkline>
            <x14:sparkline>
              <xm:f>Sheet4!D33:H33</xm:f>
              <xm:sqref>I33</xm:sqref>
            </x14:sparkline>
            <x14:sparkline>
              <xm:f>Sheet4!D34:H34</xm:f>
              <xm:sqref>I34</xm:sqref>
            </x14:sparkline>
            <x14:sparkline>
              <xm:f>Sheet4!D35:H35</xm:f>
              <xm:sqref>I35</xm:sqref>
            </x14:sparkline>
            <x14:sparkline>
              <xm:f>Sheet4!D36:H36</xm:f>
              <xm:sqref>I36</xm:sqref>
            </x14:sparkline>
          </x14:sparklines>
        </x14:sparklineGroup>
        <x14:sparklineGroup type="column" displayEmptyCellsAs="gap" xr2:uid="{C7EBCE8D-F4F2-4216-ACCD-30E00BEFDED1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Sheet4!D15:H15</xm:f>
              <xm:sqref>I15</xm:sqref>
            </x14:sparkline>
            <x14:sparkline>
              <xm:f>Sheet4!D16:H16</xm:f>
              <xm:sqref>I16</xm:sqref>
            </x14:sparkline>
            <x14:sparkline>
              <xm:f>Sheet4!D17:H17</xm:f>
              <xm:sqref>I17</xm:sqref>
            </x14:sparkline>
            <x14:sparkline>
              <xm:f>Sheet4!D18:H18</xm:f>
              <xm:sqref>I18</xm:sqref>
            </x14:sparkline>
            <x14:sparkline>
              <xm:f>Sheet4!D19:H19</xm:f>
              <xm:sqref>I19</xm:sqref>
            </x14:sparkline>
            <x14:sparkline>
              <xm:f>Sheet4!D20:H20</xm:f>
              <xm:sqref>I20</xm:sqref>
            </x14:sparkline>
            <x14:sparkline>
              <xm:f>Sheet4!D21:H21</xm:f>
              <xm:sqref>I21</xm:sqref>
            </x14:sparkline>
            <x14:sparkline>
              <xm:f>Sheet4!D22:H22</xm:f>
              <xm:sqref>I22</xm:sqref>
            </x14:sparkline>
            <x14:sparkline>
              <xm:f>Sheet4!D23:H23</xm:f>
              <xm:sqref>I23</xm:sqref>
            </x14:sparkline>
            <x14:sparkline>
              <xm:f>Sheet4!D24:H24</xm:f>
              <xm:sqref>I24</xm:sqref>
            </x14:sparkline>
            <x14:sparkline>
              <xm:f>Sheet4!D25:H25</xm:f>
              <xm:sqref>I25</xm:sqref>
            </x14:sparkline>
          </x14:sparklines>
        </x14:sparklineGroup>
        <x14:sparklineGroup type="column" displayEmptyCellsAs="gap" xr2:uid="{07D59129-2488-4223-92B0-66611C885F76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Sheet4!D4:H4</xm:f>
              <xm:sqref>I4</xm:sqref>
            </x14:sparkline>
            <x14:sparkline>
              <xm:f>Sheet4!D5:H5</xm:f>
              <xm:sqref>I5</xm:sqref>
            </x14:sparkline>
            <x14:sparkline>
              <xm:f>Sheet4!D6:H6</xm:f>
              <xm:sqref>I6</xm:sqref>
            </x14:sparkline>
            <x14:sparkline>
              <xm:f>Sheet4!D7:H7</xm:f>
              <xm:sqref>I7</xm:sqref>
            </x14:sparkline>
            <x14:sparkline>
              <xm:f>Sheet4!D8:H8</xm:f>
              <xm:sqref>I8</xm:sqref>
            </x14:sparkline>
            <x14:sparkline>
              <xm:f>Sheet4!D9:H9</xm:f>
              <xm:sqref>I9</xm:sqref>
            </x14:sparkline>
            <x14:sparkline>
              <xm:f>Sheet4!D10:H10</xm:f>
              <xm:sqref>I10</xm:sqref>
            </x14:sparkline>
            <x14:sparkline>
              <xm:f>Sheet4!D11:H11</xm:f>
              <xm:sqref>I11</xm:sqref>
            </x14:sparkline>
            <x14:sparkline>
              <xm:f>Sheet4!D12:H12</xm:f>
              <xm:sqref>I12</xm:sqref>
            </x14:sparkline>
            <x14:sparkline>
              <xm:f>Sheet4!D13:H13</xm:f>
              <xm:sqref>I13</xm:sqref>
            </x14:sparkline>
            <x14:sparkline>
              <xm:f>Sheet4!D14:H14</xm:f>
              <xm:sqref>I14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7122-747D-48BC-9E29-1DDF25D47616}">
  <dimension ref="F1:M19"/>
  <sheetViews>
    <sheetView workbookViewId="0">
      <selection activeCell="M7" sqref="M7"/>
    </sheetView>
  </sheetViews>
  <sheetFormatPr defaultRowHeight="15" x14ac:dyDescent="0.25"/>
  <cols>
    <col min="6" max="6" width="13.140625" bestFit="1" customWidth="1"/>
    <col min="7" max="9" width="12" bestFit="1" customWidth="1"/>
    <col min="13" max="13" width="15.85546875" bestFit="1" customWidth="1"/>
  </cols>
  <sheetData>
    <row r="1" spans="6:13" x14ac:dyDescent="0.25">
      <c r="F1" s="12" t="s">
        <v>87</v>
      </c>
      <c r="G1" t="s">
        <v>92</v>
      </c>
    </row>
    <row r="3" spans="6:13" x14ac:dyDescent="0.25">
      <c r="F3" s="12" t="s">
        <v>90</v>
      </c>
      <c r="G3" t="s">
        <v>89</v>
      </c>
      <c r="J3" s="1" t="s">
        <v>88</v>
      </c>
    </row>
    <row r="4" spans="6:13" x14ac:dyDescent="0.25">
      <c r="F4" s="13" t="s">
        <v>29</v>
      </c>
      <c r="G4">
        <v>3</v>
      </c>
      <c r="J4" s="1">
        <f>I4*H4</f>
        <v>0</v>
      </c>
    </row>
    <row r="5" spans="6:13" x14ac:dyDescent="0.25">
      <c r="F5" s="13" t="s">
        <v>38</v>
      </c>
      <c r="G5">
        <v>12</v>
      </c>
      <c r="J5" s="1">
        <f t="shared" ref="J5:J18" si="0">I5*H5</f>
        <v>0</v>
      </c>
      <c r="M5" s="10">
        <f ca="1">TODAY()</f>
        <v>46015</v>
      </c>
    </row>
    <row r="6" spans="6:13" x14ac:dyDescent="0.25">
      <c r="F6" s="13" t="s">
        <v>39</v>
      </c>
      <c r="G6">
        <v>13</v>
      </c>
      <c r="J6" s="1">
        <f t="shared" si="0"/>
        <v>0</v>
      </c>
      <c r="M6" s="10">
        <f ca="1">TODAY()</f>
        <v>46015</v>
      </c>
    </row>
    <row r="7" spans="6:13" x14ac:dyDescent="0.25">
      <c r="F7" s="13" t="s">
        <v>40</v>
      </c>
      <c r="G7">
        <v>14</v>
      </c>
      <c r="J7" s="1">
        <f t="shared" si="0"/>
        <v>0</v>
      </c>
      <c r="M7" s="10">
        <f>DATE(2025,11,26)</f>
        <v>45987</v>
      </c>
    </row>
    <row r="8" spans="6:13" x14ac:dyDescent="0.25">
      <c r="F8" s="13" t="s">
        <v>41</v>
      </c>
      <c r="G8">
        <v>15</v>
      </c>
      <c r="J8" s="1">
        <f t="shared" si="0"/>
        <v>0</v>
      </c>
      <c r="M8" s="11">
        <f ca="1">NOW()</f>
        <v>46015.783458912039</v>
      </c>
    </row>
    <row r="9" spans="6:13" x14ac:dyDescent="0.25">
      <c r="F9" s="13" t="s">
        <v>42</v>
      </c>
      <c r="G9">
        <v>16</v>
      </c>
      <c r="J9" s="1">
        <f t="shared" si="0"/>
        <v>0</v>
      </c>
    </row>
    <row r="10" spans="6:13" x14ac:dyDescent="0.25">
      <c r="F10" s="13" t="s">
        <v>43</v>
      </c>
      <c r="G10">
        <v>17</v>
      </c>
      <c r="J10" s="1">
        <f t="shared" si="0"/>
        <v>0</v>
      </c>
    </row>
    <row r="11" spans="6:13" x14ac:dyDescent="0.25">
      <c r="F11" s="13" t="s">
        <v>30</v>
      </c>
      <c r="G11">
        <v>4</v>
      </c>
      <c r="J11" s="1">
        <f t="shared" si="0"/>
        <v>0</v>
      </c>
    </row>
    <row r="12" spans="6:13" x14ac:dyDescent="0.25">
      <c r="F12" s="13" t="s">
        <v>31</v>
      </c>
      <c r="G12">
        <v>5</v>
      </c>
      <c r="J12" s="1">
        <f t="shared" si="0"/>
        <v>0</v>
      </c>
    </row>
    <row r="13" spans="6:13" x14ac:dyDescent="0.25">
      <c r="F13" s="13" t="s">
        <v>32</v>
      </c>
      <c r="G13">
        <v>6</v>
      </c>
      <c r="J13" s="1">
        <f t="shared" si="0"/>
        <v>0</v>
      </c>
    </row>
    <row r="14" spans="6:13" x14ac:dyDescent="0.25">
      <c r="F14" s="13" t="s">
        <v>33</v>
      </c>
      <c r="G14">
        <v>7</v>
      </c>
      <c r="J14" s="1">
        <f t="shared" si="0"/>
        <v>0</v>
      </c>
    </row>
    <row r="15" spans="6:13" x14ac:dyDescent="0.25">
      <c r="F15" s="13" t="s">
        <v>34</v>
      </c>
      <c r="G15">
        <v>8</v>
      </c>
      <c r="J15" s="1">
        <f t="shared" si="0"/>
        <v>0</v>
      </c>
    </row>
    <row r="16" spans="6:13" x14ac:dyDescent="0.25">
      <c r="F16" s="13" t="s">
        <v>35</v>
      </c>
      <c r="G16">
        <v>9</v>
      </c>
      <c r="J16" s="1">
        <f t="shared" si="0"/>
        <v>0</v>
      </c>
    </row>
    <row r="17" spans="6:10" x14ac:dyDescent="0.25">
      <c r="F17" s="13" t="s">
        <v>36</v>
      </c>
      <c r="G17">
        <v>10</v>
      </c>
      <c r="J17" s="1">
        <f t="shared" si="0"/>
        <v>0</v>
      </c>
    </row>
    <row r="18" spans="6:10" x14ac:dyDescent="0.25">
      <c r="F18" s="13" t="s">
        <v>37</v>
      </c>
      <c r="G18">
        <v>11</v>
      </c>
      <c r="J18" s="1">
        <f t="shared" si="0"/>
        <v>0</v>
      </c>
    </row>
    <row r="19" spans="6:10" x14ac:dyDescent="0.25">
      <c r="F19" s="13" t="s">
        <v>91</v>
      </c>
      <c r="G19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Sheet2</vt:lpstr>
      <vt:lpstr>Sheet3</vt:lpstr>
      <vt:lpstr>Sheet4</vt:lpstr>
      <vt:lpstr>Sheet1</vt:lpstr>
      <vt:lpstr>Sheet4!Print_Titles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Institute</dc:creator>
  <cp:lastModifiedBy>Pearl Institute</cp:lastModifiedBy>
  <cp:lastPrinted>2025-12-24T13:40:41Z</cp:lastPrinted>
  <dcterms:created xsi:type="dcterms:W3CDTF">2025-12-17T12:58:43Z</dcterms:created>
  <dcterms:modified xsi:type="dcterms:W3CDTF">2025-12-24T13:48:57Z</dcterms:modified>
</cp:coreProperties>
</file>