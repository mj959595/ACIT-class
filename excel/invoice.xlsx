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513c62448dfae4/Desktop/"/>
    </mc:Choice>
  </mc:AlternateContent>
  <xr:revisionPtr revIDLastSave="1" documentId="8_{A48D1E78-1008-497B-B266-438397DBE74A}" xr6:coauthVersionLast="47" xr6:coauthVersionMax="47" xr10:uidLastSave="{3BB19CCF-B1BF-4E2C-B958-01264B273D7B}"/>
  <bookViews>
    <workbookView xWindow="-120" yWindow="-120" windowWidth="20730" windowHeight="11040" xr2:uid="{9E58358D-8A94-43CB-A98C-7F4B71A0A7D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1" l="1"/>
  <c r="D31" i="1"/>
  <c r="C16" i="1"/>
  <c r="C17" i="1"/>
  <c r="C18" i="1"/>
  <c r="E18" i="1" s="1"/>
  <c r="C19" i="1"/>
  <c r="E19" i="1" s="1"/>
  <c r="C20" i="1"/>
  <c r="C21" i="1"/>
  <c r="C22" i="1"/>
  <c r="E22" i="1" s="1"/>
  <c r="C23" i="1"/>
  <c r="E23" i="1" s="1"/>
  <c r="C24" i="1"/>
  <c r="C25" i="1"/>
  <c r="C26" i="1"/>
  <c r="E26" i="1" s="1"/>
  <c r="C27" i="1"/>
  <c r="E27" i="1" s="1"/>
  <c r="C28" i="1"/>
  <c r="E20" i="1"/>
  <c r="E21" i="1"/>
  <c r="E24" i="1"/>
  <c r="E25" i="1"/>
  <c r="E28" i="1"/>
  <c r="E17" i="1"/>
  <c r="E13" i="1"/>
  <c r="E14" i="1"/>
  <c r="E15" i="1"/>
  <c r="E16" i="1"/>
  <c r="E12" i="1"/>
  <c r="C13" i="1"/>
  <c r="C14" i="1"/>
  <c r="C15" i="1"/>
  <c r="C12" i="1"/>
  <c r="D30" i="1" l="1"/>
</calcChain>
</file>

<file path=xl/sharedStrings.xml><?xml version="1.0" encoding="utf-8"?>
<sst xmlns="http://schemas.openxmlformats.org/spreadsheetml/2006/main" count="37" uniqueCount="25">
  <si>
    <t>pearl institute</t>
  </si>
  <si>
    <t>address: sattelite town</t>
  </si>
  <si>
    <t>phone: 012345678</t>
  </si>
  <si>
    <t>bill no</t>
  </si>
  <si>
    <t>date</t>
  </si>
  <si>
    <t>name</t>
  </si>
  <si>
    <t>contact</t>
  </si>
  <si>
    <t>address</t>
  </si>
  <si>
    <t>serial no</t>
  </si>
  <si>
    <t>Items</t>
  </si>
  <si>
    <t>rate</t>
  </si>
  <si>
    <t>quantity</t>
  </si>
  <si>
    <t>total</t>
  </si>
  <si>
    <t xml:space="preserve">total </t>
  </si>
  <si>
    <t>GST 15%</t>
  </si>
  <si>
    <t>total price</t>
  </si>
  <si>
    <t>______________________________</t>
  </si>
  <si>
    <t>signature</t>
  </si>
  <si>
    <t>itmes</t>
  </si>
  <si>
    <t>price</t>
  </si>
  <si>
    <t>key board</t>
  </si>
  <si>
    <t>mouse</t>
  </si>
  <si>
    <t>printer</t>
  </si>
  <si>
    <t>monitor</t>
  </si>
  <si>
    <t>scanner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</si>
</sst>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4" borderId="0" xfId="0" applyFill="1"/>
    <xf numFmtId="0" fontId="0" fillId="2" borderId="1" xfId="0" applyFill="1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1CE43-346E-4384-8D1C-C4FD0FFB96C7}">
  <dimension ref="A2:G36"/>
  <sheetViews>
    <sheetView tabSelected="1" view="pageLayout" topLeftCell="A7" zoomScale="70" zoomScaleNormal="100" zoomScalePageLayoutView="70" workbookViewId="0">
      <selection activeCell="D33" sqref="D33"/>
    </sheetView>
  </sheetViews>
  <sheetFormatPr defaultRowHeight="15" x14ac:dyDescent="0.25"/>
  <cols>
    <col min="2" max="2" width="28.28515625" customWidth="1"/>
    <col min="3" max="3" width="15.7109375" customWidth="1"/>
    <col min="4" max="4" width="19.7109375" customWidth="1"/>
  </cols>
  <sheetData>
    <row r="2" spans="1:7" ht="28.5" x14ac:dyDescent="0.25">
      <c r="A2" s="12" t="s">
        <v>0</v>
      </c>
      <c r="B2" s="12"/>
      <c r="C2" s="12"/>
      <c r="D2" s="12"/>
      <c r="E2" s="12"/>
    </row>
    <row r="3" spans="1:7" ht="18.75" x14ac:dyDescent="0.25">
      <c r="A3" s="13" t="s">
        <v>1</v>
      </c>
      <c r="B3" s="13"/>
      <c r="C3" s="13"/>
      <c r="D3" s="13"/>
      <c r="E3" s="13"/>
    </row>
    <row r="4" spans="1:7" ht="18.75" x14ac:dyDescent="0.25">
      <c r="A4" s="14" t="s">
        <v>2</v>
      </c>
      <c r="B4" s="14"/>
      <c r="C4" s="14"/>
      <c r="D4" s="14"/>
      <c r="E4" s="14"/>
    </row>
    <row r="6" spans="1:7" x14ac:dyDescent="0.25">
      <c r="A6" s="1" t="s">
        <v>3</v>
      </c>
      <c r="B6" s="1"/>
      <c r="C6" s="1" t="s">
        <v>4</v>
      </c>
      <c r="D6" s="15"/>
      <c r="E6" s="15"/>
    </row>
    <row r="7" spans="1:7" x14ac:dyDescent="0.25">
      <c r="A7" t="s">
        <v>5</v>
      </c>
      <c r="F7" t="s">
        <v>18</v>
      </c>
      <c r="G7" t="s">
        <v>19</v>
      </c>
    </row>
    <row r="8" spans="1:7" x14ac:dyDescent="0.25">
      <c r="A8" t="s">
        <v>6</v>
      </c>
      <c r="F8" t="s">
        <v>20</v>
      </c>
      <c r="G8">
        <v>100</v>
      </c>
    </row>
    <row r="9" spans="1:7" x14ac:dyDescent="0.25">
      <c r="A9" t="s">
        <v>7</v>
      </c>
      <c r="F9" t="s">
        <v>21</v>
      </c>
      <c r="G9">
        <v>50</v>
      </c>
    </row>
    <row r="10" spans="1:7" x14ac:dyDescent="0.25">
      <c r="F10" t="s">
        <v>22</v>
      </c>
      <c r="G10">
        <v>800</v>
      </c>
    </row>
    <row r="11" spans="1:7" x14ac:dyDescent="0.25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t="s">
        <v>23</v>
      </c>
      <c r="G11">
        <v>500</v>
      </c>
    </row>
    <row r="12" spans="1:7" x14ac:dyDescent="0.25">
      <c r="A12" s="7"/>
      <c r="B12" s="7" t="s">
        <v>22</v>
      </c>
      <c r="C12" s="4" t="str">
        <f>IF(B12="key board","100",IF(B12="mouse","200",IF(B12="printer","3000",IF(B12="monitor","2000",IF(B12="scanner","6000","")))))</f>
        <v>3000</v>
      </c>
      <c r="D12" s="4">
        <v>2</v>
      </c>
      <c r="E12" s="4">
        <f>C12*D12</f>
        <v>6000</v>
      </c>
      <c r="F12" t="s">
        <v>24</v>
      </c>
      <c r="G12">
        <v>900</v>
      </c>
    </row>
    <row r="13" spans="1:7" x14ac:dyDescent="0.25">
      <c r="A13" s="4"/>
      <c r="B13" s="4" t="s">
        <v>21</v>
      </c>
      <c r="C13" s="4" t="str">
        <f t="shared" ref="C13:C28" si="0">IF(B13="key board","100",IF(B13="mouse","200",IF(B13="printer","3000",IF(B13="monitor","2000",IF(B13="scanner","6000","")))))</f>
        <v>200</v>
      </c>
      <c r="D13" s="4">
        <v>5</v>
      </c>
      <c r="E13" s="4">
        <f t="shared" ref="E13:E28" si="1">C13*D13</f>
        <v>1000</v>
      </c>
    </row>
    <row r="14" spans="1:7" x14ac:dyDescent="0.25">
      <c r="A14" s="4"/>
      <c r="B14" s="4" t="s">
        <v>23</v>
      </c>
      <c r="C14" s="4" t="str">
        <f t="shared" si="0"/>
        <v>2000</v>
      </c>
      <c r="D14" s="4">
        <v>10</v>
      </c>
      <c r="E14" s="4">
        <f t="shared" si="1"/>
        <v>20000</v>
      </c>
    </row>
    <row r="15" spans="1:7" x14ac:dyDescent="0.25">
      <c r="A15" s="4"/>
      <c r="B15" s="4" t="s">
        <v>24</v>
      </c>
      <c r="C15" s="4" t="str">
        <f t="shared" si="0"/>
        <v>6000</v>
      </c>
      <c r="D15" s="4">
        <v>12</v>
      </c>
      <c r="E15" s="4">
        <f t="shared" si="1"/>
        <v>72000</v>
      </c>
    </row>
    <row r="16" spans="1:7" x14ac:dyDescent="0.25">
      <c r="A16" s="4"/>
      <c r="B16" s="4" t="s">
        <v>22</v>
      </c>
      <c r="C16" s="4" t="str">
        <f t="shared" si="0"/>
        <v>3000</v>
      </c>
      <c r="D16" s="4">
        <v>23</v>
      </c>
      <c r="E16" s="4">
        <f t="shared" si="1"/>
        <v>69000</v>
      </c>
    </row>
    <row r="17" spans="1:5" x14ac:dyDescent="0.25">
      <c r="A17" s="4"/>
      <c r="B17" s="4"/>
      <c r="C17" s="4" t="str">
        <f t="shared" si="0"/>
        <v/>
      </c>
      <c r="D17" s="4"/>
      <c r="E17" s="4" t="str">
        <f>IFERROR((C17*D17),"")</f>
        <v/>
      </c>
    </row>
    <row r="18" spans="1:5" x14ac:dyDescent="0.25">
      <c r="A18" s="4"/>
      <c r="B18" s="4"/>
      <c r="C18" s="4" t="str">
        <f t="shared" si="0"/>
        <v/>
      </c>
      <c r="D18" s="4"/>
      <c r="E18" s="4" t="str">
        <f t="shared" ref="E18:E28" si="2">IFERROR((C18*D18),"")</f>
        <v/>
      </c>
    </row>
    <row r="19" spans="1:5" x14ac:dyDescent="0.25">
      <c r="A19" s="4"/>
      <c r="B19" s="4"/>
      <c r="C19" s="4" t="str">
        <f t="shared" si="0"/>
        <v/>
      </c>
      <c r="D19" s="4"/>
      <c r="E19" s="4" t="str">
        <f t="shared" si="2"/>
        <v/>
      </c>
    </row>
    <row r="20" spans="1:5" x14ac:dyDescent="0.25">
      <c r="A20" s="4"/>
      <c r="B20" s="4"/>
      <c r="C20" s="4" t="str">
        <f t="shared" si="0"/>
        <v/>
      </c>
      <c r="D20" s="4"/>
      <c r="E20" s="4" t="str">
        <f t="shared" si="2"/>
        <v/>
      </c>
    </row>
    <row r="21" spans="1:5" x14ac:dyDescent="0.25">
      <c r="A21" s="4"/>
      <c r="B21" s="4"/>
      <c r="C21" s="4" t="str">
        <f t="shared" si="0"/>
        <v/>
      </c>
      <c r="D21" s="4"/>
      <c r="E21" s="4" t="str">
        <f t="shared" si="2"/>
        <v/>
      </c>
    </row>
    <row r="22" spans="1:5" x14ac:dyDescent="0.25">
      <c r="A22" s="4"/>
      <c r="B22" s="4"/>
      <c r="C22" s="4" t="str">
        <f t="shared" si="0"/>
        <v/>
      </c>
      <c r="D22" s="4"/>
      <c r="E22" s="4" t="str">
        <f t="shared" si="2"/>
        <v/>
      </c>
    </row>
    <row r="23" spans="1:5" x14ac:dyDescent="0.25">
      <c r="A23" s="4"/>
      <c r="B23" s="4"/>
      <c r="C23" s="4" t="str">
        <f t="shared" si="0"/>
        <v/>
      </c>
      <c r="D23" s="4"/>
      <c r="E23" s="4" t="str">
        <f t="shared" si="2"/>
        <v/>
      </c>
    </row>
    <row r="24" spans="1:5" x14ac:dyDescent="0.25">
      <c r="A24" s="4"/>
      <c r="B24" s="4"/>
      <c r="C24" s="4" t="str">
        <f t="shared" si="0"/>
        <v/>
      </c>
      <c r="D24" s="4"/>
      <c r="E24" s="4" t="str">
        <f t="shared" si="2"/>
        <v/>
      </c>
    </row>
    <row r="25" spans="1:5" x14ac:dyDescent="0.25">
      <c r="A25" s="4"/>
      <c r="B25" s="4"/>
      <c r="C25" s="4" t="str">
        <f t="shared" si="0"/>
        <v/>
      </c>
      <c r="D25" s="4"/>
      <c r="E25" s="4" t="str">
        <f t="shared" si="2"/>
        <v/>
      </c>
    </row>
    <row r="26" spans="1:5" x14ac:dyDescent="0.25">
      <c r="A26" s="4"/>
      <c r="B26" s="4"/>
      <c r="C26" s="4" t="str">
        <f t="shared" si="0"/>
        <v/>
      </c>
      <c r="D26" s="4"/>
      <c r="E26" s="4" t="str">
        <f t="shared" si="2"/>
        <v/>
      </c>
    </row>
    <row r="27" spans="1:5" x14ac:dyDescent="0.25">
      <c r="A27" s="4"/>
      <c r="B27" s="4"/>
      <c r="C27" s="4" t="str">
        <f t="shared" si="0"/>
        <v/>
      </c>
      <c r="D27" s="4"/>
      <c r="E27" s="4" t="str">
        <f t="shared" si="2"/>
        <v/>
      </c>
    </row>
    <row r="28" spans="1:5" x14ac:dyDescent="0.25">
      <c r="A28" s="5"/>
      <c r="B28" s="5"/>
      <c r="C28" s="4" t="str">
        <f t="shared" si="0"/>
        <v/>
      </c>
      <c r="D28" s="5"/>
      <c r="E28" s="4" t="str">
        <f t="shared" si="2"/>
        <v/>
      </c>
    </row>
    <row r="29" spans="1:5" x14ac:dyDescent="0.25">
      <c r="A29" s="3"/>
      <c r="B29" s="3"/>
      <c r="C29" s="6"/>
      <c r="D29" s="10"/>
      <c r="E29" s="11"/>
    </row>
    <row r="30" spans="1:5" x14ac:dyDescent="0.25">
      <c r="A30" s="3"/>
      <c r="B30" s="3"/>
      <c r="C30" s="6" t="s">
        <v>13</v>
      </c>
      <c r="D30" s="10">
        <f>SUM(E12:E28)</f>
        <v>168000</v>
      </c>
      <c r="E30" s="11"/>
    </row>
    <row r="31" spans="1:5" x14ac:dyDescent="0.25">
      <c r="A31" s="3"/>
      <c r="B31" s="3"/>
      <c r="C31" s="6" t="s">
        <v>14</v>
      </c>
      <c r="D31" s="10">
        <f>D30*15%</f>
        <v>25200</v>
      </c>
      <c r="E31" s="11"/>
    </row>
    <row r="32" spans="1:5" x14ac:dyDescent="0.25">
      <c r="A32" s="3"/>
      <c r="B32" s="3"/>
      <c r="C32" s="6" t="s">
        <v>15</v>
      </c>
      <c r="D32" s="10">
        <f>SUM(D30:E31)</f>
        <v>193200</v>
      </c>
      <c r="E32" s="11"/>
    </row>
    <row r="33" spans="1:5" x14ac:dyDescent="0.25">
      <c r="A33" s="3"/>
      <c r="B33" s="3"/>
      <c r="C33" s="3"/>
      <c r="D33" s="3"/>
      <c r="E33" s="3"/>
    </row>
    <row r="34" spans="1:5" x14ac:dyDescent="0.25">
      <c r="A34" s="3"/>
      <c r="B34" s="3"/>
      <c r="C34" s="3"/>
      <c r="D34" s="3"/>
      <c r="E34" s="3"/>
    </row>
    <row r="35" spans="1:5" x14ac:dyDescent="0.25">
      <c r="A35" s="3"/>
      <c r="B35" s="3"/>
      <c r="C35" s="8" t="s">
        <v>16</v>
      </c>
      <c r="D35" s="8"/>
      <c r="E35" s="8"/>
    </row>
    <row r="36" spans="1:5" x14ac:dyDescent="0.25">
      <c r="C36" s="9" t="s">
        <v>17</v>
      </c>
      <c r="D36" s="9"/>
      <c r="E36" s="9"/>
    </row>
  </sheetData>
  <mergeCells count="10">
    <mergeCell ref="A2:E2"/>
    <mergeCell ref="A3:E3"/>
    <mergeCell ref="A4:E4"/>
    <mergeCell ref="D6:E6"/>
    <mergeCell ref="C35:E35"/>
    <mergeCell ref="C36:E36"/>
    <mergeCell ref="D32:E32"/>
    <mergeCell ref="D29:E29"/>
    <mergeCell ref="D30:E30"/>
    <mergeCell ref="D31:E31"/>
  </mergeCells>
  <dataValidations count="1">
    <dataValidation type="custom" allowBlank="1" showInputMessage="1" showErrorMessage="1" sqref="H10" xr:uid="{508A9ED7-3B5A-4DE7-808B-8960CACEAE4A}">
      <formula1>"ACIT, GRAPHICS, CCNA"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765F96-1E4A-4678-BF3E-8454905D0AF2}">
          <x14:formula1>
            <xm:f>Sheet2!$B$4:$B$8</xm:f>
          </x14:formula1>
          <xm:sqref>B12:B28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A998-C9B5-48EF-8E89-64EAC100964A}">
  <dimension ref="B3:C8"/>
  <sheetViews>
    <sheetView workbookViewId="0">
      <selection activeCell="C8" sqref="B3:C8"/>
    </sheetView>
  </sheetViews>
  <sheetFormatPr defaultRowHeight="15" x14ac:dyDescent="0.25"/>
  <sheetData>
    <row r="3" spans="2:3" x14ac:dyDescent="0.25">
      <c r="B3" t="s">
        <v>18</v>
      </c>
      <c r="C3" t="s">
        <v>19</v>
      </c>
    </row>
    <row r="4" spans="2:3" x14ac:dyDescent="0.25">
      <c r="B4" t="s">
        <v>20</v>
      </c>
      <c r="C4">
        <v>100</v>
      </c>
    </row>
    <row r="5" spans="2:3" x14ac:dyDescent="0.25">
      <c r="B5" t="s">
        <v>21</v>
      </c>
      <c r="C5">
        <v>50</v>
      </c>
    </row>
    <row r="6" spans="2:3" x14ac:dyDescent="0.25">
      <c r="B6" t="s">
        <v>22</v>
      </c>
      <c r="C6">
        <v>800</v>
      </c>
    </row>
    <row r="7" spans="2:3" x14ac:dyDescent="0.25">
      <c r="B7" t="s">
        <v>23</v>
      </c>
      <c r="C7">
        <v>500</v>
      </c>
    </row>
    <row r="8" spans="2:3" x14ac:dyDescent="0.25">
      <c r="B8" t="s">
        <v>24</v>
      </c>
      <c r="C8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Institute</dc:creator>
  <cp:lastModifiedBy>Pearl Institute</cp:lastModifiedBy>
  <cp:lastPrinted>2026-01-02T13:13:57Z</cp:lastPrinted>
  <dcterms:created xsi:type="dcterms:W3CDTF">2025-12-30T13:19:16Z</dcterms:created>
  <dcterms:modified xsi:type="dcterms:W3CDTF">2026-01-02T13:14:13Z</dcterms:modified>
</cp:coreProperties>
</file>