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:\Notes Hazrat Ali Nasar\"/>
    </mc:Choice>
  </mc:AlternateContent>
  <xr:revisionPtr revIDLastSave="0" documentId="13_ncr:1_{1A8E5F7F-9EF9-4CE3-91BD-6E591D41D359}" xr6:coauthVersionLast="47" xr6:coauthVersionMax="47" xr10:uidLastSave="{00000000-0000-0000-0000-000000000000}"/>
  <bookViews>
    <workbookView xWindow="-120" yWindow="-120" windowWidth="20640" windowHeight="11040" tabRatio="674" firstSheet="22" activeTab="27" xr2:uid="{00000000-000D-0000-FFFF-FFFF00000000}"/>
  </bookViews>
  <sheets>
    <sheet name="Class One" sheetId="1" r:id="rId1"/>
    <sheet name="Database" sheetId="21" r:id="rId2"/>
    <sheet name="Formulas" sheetId="2" r:id="rId3"/>
    <sheet name="Mark Sheet" sheetId="3" r:id="rId4"/>
    <sheet name="if Logical" sheetId="4" r:id="rId5"/>
    <sheet name="Income Expense Sheet" sheetId="5" r:id="rId6"/>
    <sheet name="Bank Salary Sheet" sheetId="6" r:id="rId7"/>
    <sheet name="(if) Bank Salary Sheet" sheetId="7" r:id="rId8"/>
    <sheet name="Daily Wages Sheet" sheetId="8" r:id="rId9"/>
    <sheet name="(if)Daily Wages Sheet" sheetId="9" r:id="rId10"/>
    <sheet name="Financial Sheet" sheetId="10" r:id="rId11"/>
    <sheet name="Register" sheetId="11" r:id="rId12"/>
    <sheet name="Bank Balance Sheet" sheetId="12" r:id="rId13"/>
    <sheet name="If and Or" sheetId="13" r:id="rId14"/>
    <sheet name="Population" sheetId="14" r:id="rId15"/>
    <sheet name="Commission" sheetId="15" r:id="rId16"/>
    <sheet name="Vlookup" sheetId="16" r:id="rId17"/>
    <sheet name="Sumif" sheetId="17" r:id="rId18"/>
    <sheet name="Electric Bills" sheetId="23" r:id="rId19"/>
    <sheet name="Electric bill" sheetId="18" r:id="rId20"/>
    <sheet name="Sales Sheet" sheetId="24" r:id="rId21"/>
    <sheet name="Conditional Formation" sheetId="19" r:id="rId22"/>
    <sheet name="Sheet3" sheetId="20" r:id="rId23"/>
    <sheet name="Bonus &amp; Promotion" sheetId="25" r:id="rId24"/>
    <sheet name="Godown" sheetId="26" r:id="rId25"/>
    <sheet name="Hospital" sheetId="27" r:id="rId26"/>
    <sheet name="ACIT 3 to 4  01-01-25" sheetId="28" r:id="rId27"/>
    <sheet name="ACIT 3 to 4  01-01-25 (2)" sheetId="33" r:id="rId28"/>
  </sheets>
  <definedNames>
    <definedName name="_xlnm._FilterDatabase" localSheetId="6" hidden="1">'Bank Salary Sheet'!$A$1:$K$142</definedName>
    <definedName name="_xlnm._FilterDatabase" localSheetId="3" hidden="1">'Mark Sheet'!$B$6:$M$18</definedName>
    <definedName name="duedate">'Electric Bills'!$B$25</definedName>
    <definedName name="lastdate">'Electric Bills'!$N$4</definedName>
    <definedName name="_xlnm.Print_Area" localSheetId="0">'Class One'!$A$51:$E$74</definedName>
    <definedName name="_xlnm.Print_Titles" localSheetId="6">'Bank Salary Sheet'!$1:$1</definedName>
    <definedName name="Z_05B8E57A_BB97_41F0_B6FB_606E79293C77_.wvu.FilterData" localSheetId="3" hidden="1">'Mark Sheet'!$B$6:$M$18</definedName>
    <definedName name="Z_ABD1FCBC_BEE8_4655_B1A4_34FAC527086A_.wvu.FilterData" localSheetId="3" hidden="1">'Mark Sheet'!$B$6:$M$18</definedName>
    <definedName name="Z_D6BA57A5_118E_4B58_A351_7E1C36DA5B56_.wvu.FilterData" localSheetId="3" hidden="1">'Mark Sheet'!$B$6:$M$18</definedName>
  </definedNames>
  <calcPr calcId="191029"/>
  <customWorkbookViews>
    <customWorkbookView name="178" guid="{D6BA57A5-118E-4B58-A351-7E1C36DA5B56}" maximized="1" windowWidth="1020" windowHeight="522" tabRatio="674" activeSheetId="3"/>
    <customWorkbookView name="IRFAN AFRIDI - Personal View" guid="{05B8E57A-BB97-41F0-B6FB-606E79293C77}" mergeInterval="0" personalView="1" maximized="1" windowWidth="1020" windowHeight="522" tabRatio="674" activeSheetId="3"/>
    <customWorkbookView name="TCC TMPS - Personal View" guid="{3C013989-8552-4FE1-BB7E-C88994E2D13D}" mergeInterval="0" personalView="1" maximized="1" xWindow="1" yWindow="1" windowWidth="1024" windowHeight="538" tabRatio="674" activeSheetId="3"/>
    <customWorkbookView name="aa" guid="{75B547B5-834C-4784-8C45-4C35B93C736F}" maximized="1" xWindow="1" yWindow="1" windowWidth="1024" windowHeight="538" tabRatio="674" activeSheetId="3"/>
  </customWorkbookViews>
</workbook>
</file>

<file path=xl/calcChain.xml><?xml version="1.0" encoding="utf-8"?>
<calcChain xmlns="http://schemas.openxmlformats.org/spreadsheetml/2006/main">
  <c r="K9" i="18" l="1"/>
  <c r="K10" i="18"/>
  <c r="K11" i="18"/>
  <c r="K12" i="18"/>
  <c r="K13" i="18"/>
  <c r="K14" i="18"/>
  <c r="K15" i="18"/>
  <c r="K16" i="18"/>
  <c r="K17" i="18"/>
  <c r="K18" i="18"/>
  <c r="K19" i="18"/>
  <c r="K20" i="18"/>
  <c r="K8" i="18"/>
  <c r="J8" i="18"/>
  <c r="G8" i="18"/>
  <c r="E47" i="14"/>
  <c r="C45" i="14"/>
  <c r="C44" i="14"/>
  <c r="J3" i="13"/>
  <c r="I6" i="13"/>
  <c r="J4" i="13"/>
  <c r="I3" i="13"/>
  <c r="I5" i="13"/>
  <c r="I4" i="13"/>
  <c r="J3" i="12"/>
  <c r="J4" i="12"/>
  <c r="J5" i="12"/>
  <c r="J6" i="12" s="1"/>
  <c r="J7" i="12" s="1"/>
  <c r="J8" i="12" s="1"/>
  <c r="J9" i="12" s="1"/>
  <c r="J10" i="12" s="1"/>
  <c r="J11" i="12" s="1"/>
  <c r="J12" i="12" s="1"/>
  <c r="J13" i="12" s="1"/>
  <c r="J14" i="12" s="1"/>
  <c r="J15" i="12" s="1"/>
  <c r="J16" i="12" s="1"/>
  <c r="J17" i="12" s="1"/>
  <c r="J18" i="12" s="1"/>
  <c r="J19" i="12" s="1"/>
  <c r="J20" i="12" s="1"/>
  <c r="J2" i="12"/>
  <c r="F19" i="5"/>
  <c r="G18" i="5"/>
  <c r="F18" i="5"/>
  <c r="AN7" i="33"/>
  <c r="AN8" i="33"/>
  <c r="AN9" i="33"/>
  <c r="AN10" i="33"/>
  <c r="AN11" i="33"/>
  <c r="AN12" i="33"/>
  <c r="AN13" i="33"/>
  <c r="AN14" i="33"/>
  <c r="AN6" i="33"/>
  <c r="AJ11" i="33"/>
  <c r="AM11" i="33"/>
  <c r="AO11" i="33"/>
  <c r="G26" i="3"/>
  <c r="B21" i="15"/>
  <c r="K8" i="23"/>
  <c r="L8" i="23"/>
  <c r="J8" i="23"/>
  <c r="I8" i="23"/>
  <c r="H8" i="23"/>
  <c r="E8" i="23"/>
  <c r="F8" i="23" s="1"/>
  <c r="D3" i="13"/>
  <c r="D4" i="13"/>
  <c r="D5" i="13"/>
  <c r="D6" i="13"/>
  <c r="D7" i="13"/>
  <c r="D8" i="13"/>
  <c r="R4" i="8"/>
  <c r="R5" i="8"/>
  <c r="R6" i="8"/>
  <c r="R7" i="8"/>
  <c r="R3" i="8"/>
  <c r="F3" i="9"/>
  <c r="O4" i="8"/>
  <c r="P4" i="8" s="1"/>
  <c r="O5" i="8"/>
  <c r="P5" i="8" s="1"/>
  <c r="O6" i="8"/>
  <c r="P6" i="8" s="1"/>
  <c r="O7" i="8"/>
  <c r="P7" i="8" s="1"/>
  <c r="O3" i="8"/>
  <c r="P3" i="8" s="1"/>
  <c r="F4" i="6"/>
  <c r="G4" i="6"/>
  <c r="E5" i="6"/>
  <c r="E6" i="6"/>
  <c r="E7" i="6"/>
  <c r="E8" i="6"/>
  <c r="E9" i="6"/>
  <c r="E10" i="6"/>
  <c r="E4" i="6"/>
  <c r="M10" i="6"/>
  <c r="B19" i="5"/>
  <c r="C18" i="5"/>
  <c r="B18" i="5"/>
  <c r="A6" i="33"/>
  <c r="A7" i="33" s="1"/>
  <c r="A8" i="33" s="1"/>
  <c r="D5" i="33"/>
  <c r="E5" i="33" s="1"/>
  <c r="F5" i="33" s="1"/>
  <c r="G5" i="33" s="1"/>
  <c r="H5" i="33" s="1"/>
  <c r="I5" i="33" s="1"/>
  <c r="J5" i="33" s="1"/>
  <c r="K5" i="33" s="1"/>
  <c r="L5" i="33" s="1"/>
  <c r="M5" i="33" s="1"/>
  <c r="N5" i="33" s="1"/>
  <c r="O5" i="33" s="1"/>
  <c r="P5" i="33" s="1"/>
  <c r="Q5" i="33" s="1"/>
  <c r="R5" i="33" s="1"/>
  <c r="S5" i="33" s="1"/>
  <c r="T5" i="33" s="1"/>
  <c r="U5" i="33" s="1"/>
  <c r="V5" i="33" s="1"/>
  <c r="W5" i="33" s="1"/>
  <c r="X5" i="33" s="1"/>
  <c r="Y5" i="33" s="1"/>
  <c r="Z5" i="33" s="1"/>
  <c r="AA5" i="33" s="1"/>
  <c r="AB5" i="33" s="1"/>
  <c r="AC5" i="33" s="1"/>
  <c r="AD5" i="33" s="1"/>
  <c r="AE5" i="33" s="1"/>
  <c r="AF5" i="33" s="1"/>
  <c r="AG5" i="33" s="1"/>
  <c r="AH5" i="33" s="1"/>
  <c r="D4" i="33"/>
  <c r="E4" i="33" s="1"/>
  <c r="F4" i="33" s="1"/>
  <c r="G4" i="33" s="1"/>
  <c r="H4" i="33" s="1"/>
  <c r="I4" i="33" s="1"/>
  <c r="J4" i="33" s="1"/>
  <c r="K4" i="33" s="1"/>
  <c r="L4" i="33" s="1"/>
  <c r="M4" i="33" s="1"/>
  <c r="N4" i="33" s="1"/>
  <c r="O4" i="33" s="1"/>
  <c r="P4" i="33" s="1"/>
  <c r="Q4" i="33" s="1"/>
  <c r="R4" i="33" s="1"/>
  <c r="S4" i="33" s="1"/>
  <c r="T4" i="33" s="1"/>
  <c r="U4" i="33" s="1"/>
  <c r="V4" i="33" s="1"/>
  <c r="W4" i="33" s="1"/>
  <c r="X4" i="33" s="1"/>
  <c r="Y4" i="33" s="1"/>
  <c r="Z4" i="33" s="1"/>
  <c r="AA4" i="33" s="1"/>
  <c r="AB4" i="33" s="1"/>
  <c r="AC4" i="33" s="1"/>
  <c r="AD4" i="33" s="1"/>
  <c r="AE4" i="33" s="1"/>
  <c r="AF4" i="33" s="1"/>
  <c r="AG4" i="33" s="1"/>
  <c r="AH4" i="33" s="1"/>
  <c r="AN17" i="33"/>
  <c r="AN16" i="33"/>
  <c r="AN15" i="33"/>
  <c r="AL14" i="33"/>
  <c r="AK14" i="33"/>
  <c r="AM14" i="33" s="1"/>
  <c r="AJ14" i="33"/>
  <c r="AO14" i="33" s="1"/>
  <c r="AM13" i="33"/>
  <c r="AJ13" i="33"/>
  <c r="AO13" i="33" s="1"/>
  <c r="AM12" i="33"/>
  <c r="AJ12" i="33"/>
  <c r="AO12" i="33" s="1"/>
  <c r="AM10" i="33"/>
  <c r="AJ10" i="33"/>
  <c r="AO10" i="33" s="1"/>
  <c r="AM9" i="33"/>
  <c r="AJ9" i="33"/>
  <c r="AO9" i="33" s="1"/>
  <c r="AM8" i="33"/>
  <c r="AJ8" i="33"/>
  <c r="AO8" i="33" s="1"/>
  <c r="AM7" i="33"/>
  <c r="AJ7" i="33"/>
  <c r="AO7" i="33" s="1"/>
  <c r="AL6" i="33"/>
  <c r="AK6" i="33"/>
  <c r="AM6" i="33" s="1"/>
  <c r="AJ6" i="33"/>
  <c r="AE9" i="28"/>
  <c r="AH9" i="28"/>
  <c r="AI9" i="28"/>
  <c r="AJ9" i="28" s="1"/>
  <c r="AE11" i="28"/>
  <c r="AH11" i="28"/>
  <c r="AI11" i="28"/>
  <c r="AJ11" i="28" s="1"/>
  <c r="A6" i="28"/>
  <c r="A7" i="28" s="1"/>
  <c r="A8" i="28" s="1"/>
  <c r="D5" i="28"/>
  <c r="E5" i="28" s="1"/>
  <c r="F5" i="28" s="1"/>
  <c r="G5" i="28" s="1"/>
  <c r="H5" i="28" s="1"/>
  <c r="I5" i="28" s="1"/>
  <c r="J5" i="28" s="1"/>
  <c r="K5" i="28" s="1"/>
  <c r="L5" i="28" s="1"/>
  <c r="M5" i="28" s="1"/>
  <c r="N5" i="28" s="1"/>
  <c r="O5" i="28" s="1"/>
  <c r="P5" i="28" s="1"/>
  <c r="Q5" i="28" s="1"/>
  <c r="R5" i="28" s="1"/>
  <c r="S5" i="28" s="1"/>
  <c r="T5" i="28" s="1"/>
  <c r="U5" i="28" s="1"/>
  <c r="V5" i="28" s="1"/>
  <c r="W5" i="28" s="1"/>
  <c r="X5" i="28" s="1"/>
  <c r="Y5" i="28" s="1"/>
  <c r="Z5" i="28" s="1"/>
  <c r="AA5" i="28" s="1"/>
  <c r="AB5" i="28" s="1"/>
  <c r="AC5" i="28" s="1"/>
  <c r="D4" i="28"/>
  <c r="E4" i="28" s="1"/>
  <c r="F4" i="28" s="1"/>
  <c r="G4" i="28" s="1"/>
  <c r="H4" i="28" s="1"/>
  <c r="I4" i="28" s="1"/>
  <c r="J4" i="28" s="1"/>
  <c r="K4" i="28" s="1"/>
  <c r="L4" i="28" s="1"/>
  <c r="M4" i="28" s="1"/>
  <c r="N4" i="28" s="1"/>
  <c r="O4" i="28" s="1"/>
  <c r="P4" i="28" s="1"/>
  <c r="Q4" i="28" s="1"/>
  <c r="R4" i="28" s="1"/>
  <c r="S4" i="28" s="1"/>
  <c r="T4" i="28" s="1"/>
  <c r="U4" i="28" s="1"/>
  <c r="V4" i="28" s="1"/>
  <c r="W4" i="28" s="1"/>
  <c r="X4" i="28" s="1"/>
  <c r="Y4" i="28" s="1"/>
  <c r="Z4" i="28" s="1"/>
  <c r="AA4" i="28" s="1"/>
  <c r="AB4" i="28" s="1"/>
  <c r="AC4" i="28" s="1"/>
  <c r="AH7" i="28"/>
  <c r="AH8" i="28"/>
  <c r="AH10" i="28"/>
  <c r="AH12" i="28"/>
  <c r="AH13" i="28"/>
  <c r="AE7" i="28"/>
  <c r="AI7" i="28" s="1"/>
  <c r="AE8" i="28"/>
  <c r="AI8" i="28" s="1"/>
  <c r="AE10" i="28"/>
  <c r="AI10" i="28" s="1"/>
  <c r="AE12" i="28"/>
  <c r="AI12" i="28" s="1"/>
  <c r="AE13" i="28"/>
  <c r="AI13" i="28" s="1"/>
  <c r="AE14" i="28"/>
  <c r="AI14" i="28" s="1"/>
  <c r="AF14" i="28"/>
  <c r="AH14" i="28" s="1"/>
  <c r="AG14" i="28"/>
  <c r="AI15" i="28"/>
  <c r="AI16" i="28"/>
  <c r="AG6" i="28"/>
  <c r="AF6" i="28"/>
  <c r="AH6" i="28" s="1"/>
  <c r="AE6" i="28"/>
  <c r="AI6" i="28" s="1"/>
  <c r="AJ6" i="28" s="1"/>
  <c r="H4" i="6" l="1"/>
  <c r="I4" i="6" s="1"/>
  <c r="AO6" i="33"/>
  <c r="A11" i="33"/>
  <c r="S5" i="8"/>
  <c r="S4" i="8"/>
  <c r="S6" i="8"/>
  <c r="S3" i="8"/>
  <c r="S7" i="8"/>
  <c r="A9" i="33"/>
  <c r="A10" i="33" s="1"/>
  <c r="A9" i="28"/>
  <c r="I60" i="2"/>
  <c r="F58" i="2"/>
  <c r="F49" i="2"/>
  <c r="H37" i="2"/>
  <c r="F34" i="2"/>
  <c r="F24" i="2"/>
  <c r="C15" i="2"/>
  <c r="C16" i="2" s="1"/>
  <c r="G12" i="2"/>
  <c r="C5" i="2"/>
  <c r="J4" i="6" l="1"/>
  <c r="A12" i="33"/>
  <c r="A10" i="28"/>
  <c r="A11" i="28" s="1"/>
  <c r="E36" i="6"/>
  <c r="F36" i="6"/>
  <c r="G36" i="6"/>
  <c r="E37" i="6"/>
  <c r="F37" i="6"/>
  <c r="G37" i="6"/>
  <c r="E38" i="6"/>
  <c r="F38" i="6"/>
  <c r="G38" i="6"/>
  <c r="E39" i="6"/>
  <c r="F39" i="6"/>
  <c r="G39" i="6"/>
  <c r="E40" i="6"/>
  <c r="F40" i="6"/>
  <c r="G40" i="6"/>
  <c r="E41" i="6"/>
  <c r="F41" i="6"/>
  <c r="G41" i="6"/>
  <c r="E42" i="6"/>
  <c r="F42" i="6"/>
  <c r="G42" i="6"/>
  <c r="E43" i="6"/>
  <c r="F43" i="6"/>
  <c r="G43" i="6"/>
  <c r="E44" i="6"/>
  <c r="F44" i="6"/>
  <c r="G44" i="6"/>
  <c r="E45" i="6"/>
  <c r="F45" i="6"/>
  <c r="G45" i="6"/>
  <c r="E46" i="6"/>
  <c r="F46" i="6"/>
  <c r="G46" i="6"/>
  <c r="E47" i="6"/>
  <c r="F47" i="6"/>
  <c r="G47" i="6"/>
  <c r="E48" i="6"/>
  <c r="F48" i="6"/>
  <c r="G48" i="6"/>
  <c r="E49" i="6"/>
  <c r="F49" i="6"/>
  <c r="G49" i="6"/>
  <c r="E50" i="6"/>
  <c r="F50" i="6"/>
  <c r="G50" i="6"/>
  <c r="E51" i="6"/>
  <c r="F51" i="6"/>
  <c r="G51" i="6"/>
  <c r="E52" i="6"/>
  <c r="F52" i="6"/>
  <c r="G52" i="6"/>
  <c r="E53" i="6"/>
  <c r="F53" i="6"/>
  <c r="G53" i="6"/>
  <c r="E54" i="6"/>
  <c r="F54" i="6"/>
  <c r="G54" i="6"/>
  <c r="E55" i="6"/>
  <c r="F55" i="6"/>
  <c r="G55" i="6"/>
  <c r="E56" i="6"/>
  <c r="F56" i="6"/>
  <c r="G56" i="6"/>
  <c r="E57" i="6"/>
  <c r="F57" i="6"/>
  <c r="G57" i="6"/>
  <c r="E58" i="6"/>
  <c r="F58" i="6"/>
  <c r="G58" i="6"/>
  <c r="E59" i="6"/>
  <c r="F59" i="6"/>
  <c r="G59" i="6"/>
  <c r="E60" i="6"/>
  <c r="F60" i="6"/>
  <c r="G60" i="6"/>
  <c r="E61" i="6"/>
  <c r="F61" i="6"/>
  <c r="G61" i="6"/>
  <c r="E62" i="6"/>
  <c r="F62" i="6"/>
  <c r="G62" i="6"/>
  <c r="E63" i="6"/>
  <c r="F63" i="6"/>
  <c r="G63" i="6"/>
  <c r="E64" i="6"/>
  <c r="F64" i="6"/>
  <c r="G64" i="6"/>
  <c r="E65" i="6"/>
  <c r="F65" i="6"/>
  <c r="G65" i="6"/>
  <c r="E66" i="6"/>
  <c r="F66" i="6"/>
  <c r="G66" i="6"/>
  <c r="E67" i="6"/>
  <c r="F67" i="6"/>
  <c r="G67" i="6"/>
  <c r="E68" i="6"/>
  <c r="F68" i="6"/>
  <c r="G68" i="6"/>
  <c r="E69" i="6"/>
  <c r="F69" i="6"/>
  <c r="G69" i="6"/>
  <c r="E70" i="6"/>
  <c r="F70" i="6"/>
  <c r="G70" i="6"/>
  <c r="E71" i="6"/>
  <c r="F71" i="6"/>
  <c r="G71" i="6"/>
  <c r="E72" i="6"/>
  <c r="F72" i="6"/>
  <c r="G72" i="6"/>
  <c r="E73" i="6"/>
  <c r="F73" i="6"/>
  <c r="G73" i="6"/>
  <c r="E74" i="6"/>
  <c r="F74" i="6"/>
  <c r="G74" i="6"/>
  <c r="E75" i="6"/>
  <c r="F75" i="6"/>
  <c r="G75" i="6"/>
  <c r="E76" i="6"/>
  <c r="F76" i="6"/>
  <c r="G76" i="6"/>
  <c r="E77" i="6"/>
  <c r="F77" i="6"/>
  <c r="G77" i="6"/>
  <c r="E78" i="6"/>
  <c r="F78" i="6"/>
  <c r="G78" i="6"/>
  <c r="E79" i="6"/>
  <c r="F79" i="6"/>
  <c r="G79" i="6"/>
  <c r="E80" i="6"/>
  <c r="F80" i="6"/>
  <c r="G80" i="6"/>
  <c r="E81" i="6"/>
  <c r="F81" i="6"/>
  <c r="G81" i="6"/>
  <c r="E82" i="6"/>
  <c r="F82" i="6"/>
  <c r="G82" i="6"/>
  <c r="E83" i="6"/>
  <c r="F83" i="6"/>
  <c r="G83" i="6"/>
  <c r="E84" i="6"/>
  <c r="F84" i="6"/>
  <c r="G84" i="6"/>
  <c r="E85" i="6"/>
  <c r="F85" i="6"/>
  <c r="G85" i="6"/>
  <c r="E86" i="6"/>
  <c r="F86" i="6"/>
  <c r="G86" i="6"/>
  <c r="E87" i="6"/>
  <c r="F87" i="6"/>
  <c r="G87" i="6"/>
  <c r="E88" i="6"/>
  <c r="F88" i="6"/>
  <c r="G88" i="6"/>
  <c r="E89" i="6"/>
  <c r="F89" i="6"/>
  <c r="G89" i="6"/>
  <c r="E90" i="6"/>
  <c r="F90" i="6"/>
  <c r="G90" i="6"/>
  <c r="E91" i="6"/>
  <c r="F91" i="6"/>
  <c r="G91" i="6"/>
  <c r="E92" i="6"/>
  <c r="F92" i="6"/>
  <c r="G92" i="6"/>
  <c r="E93" i="6"/>
  <c r="F93" i="6"/>
  <c r="G93" i="6"/>
  <c r="E94" i="6"/>
  <c r="F94" i="6"/>
  <c r="G94" i="6"/>
  <c r="E95" i="6"/>
  <c r="F95" i="6"/>
  <c r="G95" i="6"/>
  <c r="E96" i="6"/>
  <c r="F96" i="6"/>
  <c r="G96" i="6"/>
  <c r="E97" i="6"/>
  <c r="F97" i="6"/>
  <c r="G97" i="6"/>
  <c r="E98" i="6"/>
  <c r="F98" i="6"/>
  <c r="G98" i="6"/>
  <c r="E99" i="6"/>
  <c r="F99" i="6"/>
  <c r="G99" i="6"/>
  <c r="E100" i="6"/>
  <c r="F100" i="6"/>
  <c r="G100" i="6"/>
  <c r="E101" i="6"/>
  <c r="F101" i="6"/>
  <c r="G101" i="6"/>
  <c r="E102" i="6"/>
  <c r="F102" i="6"/>
  <c r="G102" i="6"/>
  <c r="E103" i="6"/>
  <c r="F103" i="6"/>
  <c r="G103" i="6"/>
  <c r="E104" i="6"/>
  <c r="F104" i="6"/>
  <c r="G104" i="6"/>
  <c r="E105" i="6"/>
  <c r="F105" i="6"/>
  <c r="G105" i="6"/>
  <c r="E106" i="6"/>
  <c r="F106" i="6"/>
  <c r="G106" i="6"/>
  <c r="E107" i="6"/>
  <c r="F107" i="6"/>
  <c r="G107" i="6"/>
  <c r="E108" i="6"/>
  <c r="F108" i="6"/>
  <c r="G108" i="6"/>
  <c r="E109" i="6"/>
  <c r="F109" i="6"/>
  <c r="G109" i="6"/>
  <c r="E110" i="6"/>
  <c r="F110" i="6"/>
  <c r="G110" i="6"/>
  <c r="E111" i="6"/>
  <c r="F111" i="6"/>
  <c r="G111" i="6"/>
  <c r="E112" i="6"/>
  <c r="F112" i="6"/>
  <c r="G112" i="6"/>
  <c r="E113" i="6"/>
  <c r="F113" i="6"/>
  <c r="G113" i="6"/>
  <c r="E114" i="6"/>
  <c r="F114" i="6"/>
  <c r="G114" i="6"/>
  <c r="E115" i="6"/>
  <c r="F115" i="6"/>
  <c r="G115" i="6"/>
  <c r="E116" i="6"/>
  <c r="F116" i="6"/>
  <c r="G116" i="6"/>
  <c r="E117" i="6"/>
  <c r="F117" i="6"/>
  <c r="G117" i="6"/>
  <c r="E118" i="6"/>
  <c r="F118" i="6"/>
  <c r="G118" i="6"/>
  <c r="E119" i="6"/>
  <c r="F119" i="6"/>
  <c r="G119" i="6"/>
  <c r="E120" i="6"/>
  <c r="F120" i="6"/>
  <c r="G120" i="6"/>
  <c r="E121" i="6"/>
  <c r="F121" i="6"/>
  <c r="G121" i="6"/>
  <c r="E122" i="6"/>
  <c r="F122" i="6"/>
  <c r="G122" i="6"/>
  <c r="E123" i="6"/>
  <c r="F123" i="6"/>
  <c r="G123" i="6"/>
  <c r="E124" i="6"/>
  <c r="F124" i="6"/>
  <c r="G124" i="6"/>
  <c r="E125" i="6"/>
  <c r="F125" i="6"/>
  <c r="G125" i="6"/>
  <c r="E126" i="6"/>
  <c r="F126" i="6"/>
  <c r="G126" i="6"/>
  <c r="E127" i="6"/>
  <c r="F127" i="6"/>
  <c r="G127" i="6"/>
  <c r="E128" i="6"/>
  <c r="F128" i="6"/>
  <c r="G128" i="6"/>
  <c r="E129" i="6"/>
  <c r="F129" i="6"/>
  <c r="G129" i="6"/>
  <c r="E130" i="6"/>
  <c r="F130" i="6"/>
  <c r="G130" i="6"/>
  <c r="E131" i="6"/>
  <c r="F131" i="6"/>
  <c r="G131" i="6"/>
  <c r="E132" i="6"/>
  <c r="F132" i="6"/>
  <c r="G132" i="6"/>
  <c r="E133" i="6"/>
  <c r="F133" i="6"/>
  <c r="G133" i="6"/>
  <c r="E134" i="6"/>
  <c r="F134" i="6"/>
  <c r="G134" i="6"/>
  <c r="E135" i="6"/>
  <c r="F135" i="6"/>
  <c r="G135" i="6"/>
  <c r="E136" i="6"/>
  <c r="F136" i="6"/>
  <c r="G136" i="6"/>
  <c r="E137" i="6"/>
  <c r="F137" i="6"/>
  <c r="G137" i="6"/>
  <c r="E138" i="6"/>
  <c r="F138" i="6"/>
  <c r="G138" i="6"/>
  <c r="E139" i="6"/>
  <c r="F139" i="6"/>
  <c r="G139" i="6"/>
  <c r="E140" i="6"/>
  <c r="F140" i="6"/>
  <c r="G140" i="6"/>
  <c r="E141" i="6"/>
  <c r="F141" i="6"/>
  <c r="G141" i="6"/>
  <c r="E142" i="6"/>
  <c r="F142" i="6"/>
  <c r="G142" i="6"/>
  <c r="G9" i="3"/>
  <c r="C8" i="3"/>
  <c r="D8" i="3"/>
  <c r="E8" i="3"/>
  <c r="F8" i="3"/>
  <c r="G8" i="3"/>
  <c r="C9" i="3"/>
  <c r="D9" i="3"/>
  <c r="E9" i="3"/>
  <c r="F9" i="3"/>
  <c r="C10" i="3"/>
  <c r="D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D7" i="3"/>
  <c r="E7" i="3"/>
  <c r="F7" i="3"/>
  <c r="G7" i="3"/>
  <c r="E24" i="6"/>
  <c r="F24" i="6"/>
  <c r="G24" i="6"/>
  <c r="E25" i="6"/>
  <c r="F25" i="6"/>
  <c r="G25" i="6"/>
  <c r="E26" i="6"/>
  <c r="F26" i="6"/>
  <c r="G26" i="6"/>
  <c r="E27" i="6"/>
  <c r="F27" i="6"/>
  <c r="G27" i="6"/>
  <c r="E28" i="6"/>
  <c r="F28" i="6"/>
  <c r="G28" i="6"/>
  <c r="E29" i="6"/>
  <c r="F29" i="6"/>
  <c r="G29" i="6"/>
  <c r="E17" i="6"/>
  <c r="F17" i="6"/>
  <c r="G17" i="6"/>
  <c r="E18" i="6"/>
  <c r="F18" i="6"/>
  <c r="G18" i="6"/>
  <c r="E19" i="6"/>
  <c r="F19" i="6"/>
  <c r="G19" i="6"/>
  <c r="E20" i="6"/>
  <c r="F20" i="6"/>
  <c r="G20" i="6"/>
  <c r="E21" i="6"/>
  <c r="F21" i="6"/>
  <c r="G21" i="6"/>
  <c r="E22" i="6"/>
  <c r="F22" i="6"/>
  <c r="G22" i="6"/>
  <c r="E14" i="6"/>
  <c r="F14" i="6"/>
  <c r="G14" i="6"/>
  <c r="F8" i="6"/>
  <c r="G8" i="6"/>
  <c r="E12" i="6"/>
  <c r="F12" i="6"/>
  <c r="G12" i="6"/>
  <c r="F6" i="6"/>
  <c r="G6" i="6"/>
  <c r="E35" i="6"/>
  <c r="F35" i="6"/>
  <c r="G35" i="6"/>
  <c r="E3" i="6"/>
  <c r="F3" i="6"/>
  <c r="G3" i="6"/>
  <c r="E23" i="6"/>
  <c r="F23" i="6"/>
  <c r="G23" i="6"/>
  <c r="E13" i="6"/>
  <c r="F13" i="6"/>
  <c r="G13" i="6"/>
  <c r="F7" i="6"/>
  <c r="G7" i="6"/>
  <c r="E11" i="6"/>
  <c r="F11" i="6"/>
  <c r="G11" i="6"/>
  <c r="F5" i="6"/>
  <c r="G5" i="6"/>
  <c r="E34" i="6"/>
  <c r="F34" i="6"/>
  <c r="G34" i="6"/>
  <c r="E30" i="6"/>
  <c r="F30" i="6"/>
  <c r="G30" i="6"/>
  <c r="E15" i="6"/>
  <c r="F15" i="6"/>
  <c r="G15" i="6"/>
  <c r="H32" i="6"/>
  <c r="I32" i="6" s="1"/>
  <c r="H102" i="6" l="1"/>
  <c r="H132" i="6"/>
  <c r="I132" i="6" s="1"/>
  <c r="H121" i="6"/>
  <c r="I121" i="6" s="1"/>
  <c r="H105" i="6"/>
  <c r="I105" i="6" s="1"/>
  <c r="H104" i="6"/>
  <c r="I104" i="6" s="1"/>
  <c r="J104" i="6" s="1"/>
  <c r="H100" i="6"/>
  <c r="I100" i="6" s="1"/>
  <c r="J100" i="6" s="1"/>
  <c r="H94" i="6"/>
  <c r="I94" i="6" s="1"/>
  <c r="J94" i="6" s="1"/>
  <c r="H90" i="6"/>
  <c r="I90" i="6" s="1"/>
  <c r="J90" i="6" s="1"/>
  <c r="H86" i="6"/>
  <c r="I86" i="6" s="1"/>
  <c r="J86" i="6" s="1"/>
  <c r="H82" i="6"/>
  <c r="I82" i="6" s="1"/>
  <c r="J82" i="6" s="1"/>
  <c r="H78" i="6"/>
  <c r="I78" i="6" s="1"/>
  <c r="J78" i="6" s="1"/>
  <c r="H74" i="6"/>
  <c r="I74" i="6" s="1"/>
  <c r="J74" i="6" s="1"/>
  <c r="H70" i="6"/>
  <c r="I70" i="6" s="1"/>
  <c r="J70" i="6" s="1"/>
  <c r="H66" i="6"/>
  <c r="I66" i="6" s="1"/>
  <c r="J66" i="6" s="1"/>
  <c r="H62" i="6"/>
  <c r="I62" i="6" s="1"/>
  <c r="J62" i="6" s="1"/>
  <c r="H58" i="6"/>
  <c r="I58" i="6" s="1"/>
  <c r="J58" i="6" s="1"/>
  <c r="H54" i="6"/>
  <c r="I54" i="6" s="1"/>
  <c r="J54" i="6" s="1"/>
  <c r="H50" i="6"/>
  <c r="I50" i="6" s="1"/>
  <c r="J50" i="6" s="1"/>
  <c r="H46" i="6"/>
  <c r="I46" i="6" s="1"/>
  <c r="J46" i="6" s="1"/>
  <c r="H42" i="6"/>
  <c r="I42" i="6" s="1"/>
  <c r="J42" i="6" s="1"/>
  <c r="H131" i="6"/>
  <c r="I131" i="6" s="1"/>
  <c r="J131" i="6" s="1"/>
  <c r="H142" i="6"/>
  <c r="I142" i="6" s="1"/>
  <c r="J142" i="6" s="1"/>
  <c r="H138" i="6"/>
  <c r="I138" i="6" s="1"/>
  <c r="J138" i="6" s="1"/>
  <c r="H135" i="6"/>
  <c r="I135" i="6" s="1"/>
  <c r="J135" i="6" s="1"/>
  <c r="H134" i="6"/>
  <c r="H129" i="6"/>
  <c r="I129" i="6" s="1"/>
  <c r="H91" i="6"/>
  <c r="I91" i="6" s="1"/>
  <c r="H38" i="6"/>
  <c r="I38" i="6" s="1"/>
  <c r="J38" i="6" s="1"/>
  <c r="A13" i="33"/>
  <c r="A14" i="33" s="1"/>
  <c r="A15" i="33" s="1"/>
  <c r="H125" i="6"/>
  <c r="I125" i="6" s="1"/>
  <c r="J125" i="6" s="1"/>
  <c r="H124" i="6"/>
  <c r="I124" i="6" s="1"/>
  <c r="H99" i="6"/>
  <c r="I99" i="6" s="1"/>
  <c r="H98" i="6"/>
  <c r="I98" i="6" s="1"/>
  <c r="J98" i="6" s="1"/>
  <c r="H114" i="6"/>
  <c r="I114" i="6" s="1"/>
  <c r="H96" i="6"/>
  <c r="I96" i="6" s="1"/>
  <c r="J96" i="6" s="1"/>
  <c r="H92" i="6"/>
  <c r="I92" i="6" s="1"/>
  <c r="J92" i="6" s="1"/>
  <c r="H118" i="6"/>
  <c r="I118" i="6" s="1"/>
  <c r="J118" i="6" s="1"/>
  <c r="H110" i="6"/>
  <c r="I110" i="6" s="1"/>
  <c r="J110" i="6" s="1"/>
  <c r="H106" i="6"/>
  <c r="I106" i="6" s="1"/>
  <c r="H88" i="6"/>
  <c r="I88" i="6" s="1"/>
  <c r="J88" i="6" s="1"/>
  <c r="H84" i="6"/>
  <c r="I84" i="6" s="1"/>
  <c r="J84" i="6" s="1"/>
  <c r="H80" i="6"/>
  <c r="I80" i="6" s="1"/>
  <c r="J80" i="6" s="1"/>
  <c r="H76" i="6"/>
  <c r="I76" i="6" s="1"/>
  <c r="J76" i="6" s="1"/>
  <c r="H72" i="6"/>
  <c r="I72" i="6" s="1"/>
  <c r="J72" i="6" s="1"/>
  <c r="H68" i="6"/>
  <c r="I68" i="6" s="1"/>
  <c r="J68" i="6" s="1"/>
  <c r="H64" i="6"/>
  <c r="I64" i="6" s="1"/>
  <c r="J64" i="6" s="1"/>
  <c r="H60" i="6"/>
  <c r="I60" i="6" s="1"/>
  <c r="J60" i="6" s="1"/>
  <c r="H56" i="6"/>
  <c r="I56" i="6" s="1"/>
  <c r="J56" i="6" s="1"/>
  <c r="H52" i="6"/>
  <c r="I52" i="6" s="1"/>
  <c r="J52" i="6" s="1"/>
  <c r="H48" i="6"/>
  <c r="I48" i="6" s="1"/>
  <c r="J48" i="6" s="1"/>
  <c r="H44" i="6"/>
  <c r="I44" i="6" s="1"/>
  <c r="J44" i="6" s="1"/>
  <c r="H40" i="6"/>
  <c r="I40" i="6" s="1"/>
  <c r="J40" i="6" s="1"/>
  <c r="H36" i="6"/>
  <c r="I36" i="6" s="1"/>
  <c r="J36" i="6" s="1"/>
  <c r="H139" i="6"/>
  <c r="I139" i="6" s="1"/>
  <c r="J139" i="6" s="1"/>
  <c r="H130" i="6"/>
  <c r="I130" i="6" s="1"/>
  <c r="J130" i="6" s="1"/>
  <c r="H113" i="6"/>
  <c r="H112" i="6"/>
  <c r="I112" i="6" s="1"/>
  <c r="J112" i="6" s="1"/>
  <c r="H101" i="6"/>
  <c r="I101" i="6" s="1"/>
  <c r="H93" i="6"/>
  <c r="I93" i="6" s="1"/>
  <c r="H140" i="6"/>
  <c r="I140" i="6" s="1"/>
  <c r="J140" i="6" s="1"/>
  <c r="H136" i="6"/>
  <c r="I136" i="6" s="1"/>
  <c r="H133" i="6"/>
  <c r="I133" i="6" s="1"/>
  <c r="H127" i="6"/>
  <c r="I127" i="6" s="1"/>
  <c r="J127" i="6" s="1"/>
  <c r="H126" i="6"/>
  <c r="I126" i="6" s="1"/>
  <c r="J126" i="6" s="1"/>
  <c r="H123" i="6"/>
  <c r="I123" i="6" s="1"/>
  <c r="J123" i="6" s="1"/>
  <c r="H120" i="6"/>
  <c r="I120" i="6" s="1"/>
  <c r="J120" i="6" s="1"/>
  <c r="H109" i="6"/>
  <c r="I109" i="6" s="1"/>
  <c r="H108" i="6"/>
  <c r="I108" i="6" s="1"/>
  <c r="J108" i="6" s="1"/>
  <c r="H95" i="6"/>
  <c r="I95" i="6" s="1"/>
  <c r="H141" i="6"/>
  <c r="I141" i="6" s="1"/>
  <c r="J141" i="6" s="1"/>
  <c r="H137" i="6"/>
  <c r="I137" i="6" s="1"/>
  <c r="J137" i="6" s="1"/>
  <c r="H128" i="6"/>
  <c r="I128" i="6" s="1"/>
  <c r="H122" i="6"/>
  <c r="I122" i="6" s="1"/>
  <c r="J122" i="6" s="1"/>
  <c r="H117" i="6"/>
  <c r="I117" i="6" s="1"/>
  <c r="H116" i="6"/>
  <c r="I116" i="6" s="1"/>
  <c r="J116" i="6" s="1"/>
  <c r="H97" i="6"/>
  <c r="I97" i="6" s="1"/>
  <c r="H89" i="6"/>
  <c r="I89" i="6" s="1"/>
  <c r="J89" i="6" s="1"/>
  <c r="H87" i="6"/>
  <c r="H85" i="6"/>
  <c r="H83" i="6"/>
  <c r="H81" i="6"/>
  <c r="H79" i="6"/>
  <c r="H77" i="6"/>
  <c r="H75" i="6"/>
  <c r="H73" i="6"/>
  <c r="H71" i="6"/>
  <c r="H69" i="6"/>
  <c r="H67" i="6"/>
  <c r="H65" i="6"/>
  <c r="H63" i="6"/>
  <c r="H61" i="6"/>
  <c r="H59" i="6"/>
  <c r="H57" i="6"/>
  <c r="H55" i="6"/>
  <c r="H53" i="6"/>
  <c r="H51" i="6"/>
  <c r="H49" i="6"/>
  <c r="H47" i="6"/>
  <c r="H45" i="6"/>
  <c r="H43" i="6"/>
  <c r="H41" i="6"/>
  <c r="H39" i="6"/>
  <c r="H37" i="6"/>
  <c r="I134" i="6"/>
  <c r="J134" i="6" s="1"/>
  <c r="H119" i="6"/>
  <c r="H111" i="6"/>
  <c r="H103" i="6"/>
  <c r="H115" i="6"/>
  <c r="H107" i="6"/>
  <c r="I102" i="6"/>
  <c r="J102" i="6" s="1"/>
  <c r="H14" i="6"/>
  <c r="I14" i="6" s="1"/>
  <c r="H23" i="6"/>
  <c r="I23" i="6" s="1"/>
  <c r="H12" i="6"/>
  <c r="I12" i="6" s="1"/>
  <c r="H29" i="6"/>
  <c r="I29" i="6" s="1"/>
  <c r="J29" i="6" s="1"/>
  <c r="H27" i="6"/>
  <c r="I27" i="6" s="1"/>
  <c r="H26" i="6"/>
  <c r="I26" i="6" s="1"/>
  <c r="J26" i="6" s="1"/>
  <c r="H25" i="6"/>
  <c r="I25" i="6" s="1"/>
  <c r="H28" i="6"/>
  <c r="I28" i="6" s="1"/>
  <c r="J28" i="6" s="1"/>
  <c r="H11" i="6"/>
  <c r="I11" i="6" s="1"/>
  <c r="H34" i="6"/>
  <c r="I34" i="6" s="1"/>
  <c r="H6" i="6"/>
  <c r="I6" i="6" s="1"/>
  <c r="J6" i="6" s="1"/>
  <c r="H15" i="6"/>
  <c r="I15" i="6" s="1"/>
  <c r="H30" i="6"/>
  <c r="I30" i="6" s="1"/>
  <c r="J30" i="6" s="1"/>
  <c r="H13" i="6"/>
  <c r="I13" i="6" s="1"/>
  <c r="H35" i="6"/>
  <c r="I35" i="6" s="1"/>
  <c r="H8" i="6"/>
  <c r="I8" i="6" s="1"/>
  <c r="J8" i="6" s="1"/>
  <c r="H24" i="6"/>
  <c r="I24" i="6" s="1"/>
  <c r="J24" i="6" s="1"/>
  <c r="J32" i="6"/>
  <c r="H3" i="6"/>
  <c r="I3" i="6" s="1"/>
  <c r="J3" i="6" s="1"/>
  <c r="H7" i="6"/>
  <c r="I7" i="6" s="1"/>
  <c r="J7" i="6" s="1"/>
  <c r="H5" i="6"/>
  <c r="J117" i="6" l="1"/>
  <c r="J124" i="6"/>
  <c r="J91" i="6"/>
  <c r="J97" i="6"/>
  <c r="J106" i="6"/>
  <c r="J121" i="6"/>
  <c r="J93" i="6"/>
  <c r="J109" i="6"/>
  <c r="J132" i="6"/>
  <c r="J105" i="6"/>
  <c r="J114" i="6"/>
  <c r="I5" i="6"/>
  <c r="J5" i="6" s="1"/>
  <c r="J99" i="6"/>
  <c r="J129" i="6"/>
  <c r="A12" i="28"/>
  <c r="J136" i="6"/>
  <c r="J133" i="6"/>
  <c r="I43" i="6"/>
  <c r="J43" i="6" s="1"/>
  <c r="I51" i="6"/>
  <c r="J51" i="6" s="1"/>
  <c r="I59" i="6"/>
  <c r="J59" i="6" s="1"/>
  <c r="I67" i="6"/>
  <c r="J67" i="6" s="1"/>
  <c r="I75" i="6"/>
  <c r="J75" i="6" s="1"/>
  <c r="I83" i="6"/>
  <c r="J83" i="6" s="1"/>
  <c r="I41" i="6"/>
  <c r="J41" i="6" s="1"/>
  <c r="I49" i="6"/>
  <c r="J49" i="6" s="1"/>
  <c r="I57" i="6"/>
  <c r="J57" i="6" s="1"/>
  <c r="I65" i="6"/>
  <c r="J65" i="6" s="1"/>
  <c r="I73" i="6"/>
  <c r="J73" i="6" s="1"/>
  <c r="I81" i="6"/>
  <c r="J81" i="6" s="1"/>
  <c r="J101" i="6"/>
  <c r="J128" i="6"/>
  <c r="I37" i="6"/>
  <c r="J37" i="6" s="1"/>
  <c r="I45" i="6"/>
  <c r="J45" i="6" s="1"/>
  <c r="I53" i="6"/>
  <c r="J53" i="6" s="1"/>
  <c r="I61" i="6"/>
  <c r="J61" i="6" s="1"/>
  <c r="I69" i="6"/>
  <c r="J69" i="6" s="1"/>
  <c r="I77" i="6"/>
  <c r="J77" i="6" s="1"/>
  <c r="I85" i="6"/>
  <c r="J85" i="6" s="1"/>
  <c r="I113" i="6"/>
  <c r="J113" i="6" s="1"/>
  <c r="J95" i="6"/>
  <c r="I39" i="6"/>
  <c r="J39" i="6" s="1"/>
  <c r="I47" i="6"/>
  <c r="J47" i="6" s="1"/>
  <c r="I55" i="6"/>
  <c r="J55" i="6" s="1"/>
  <c r="I63" i="6"/>
  <c r="J63" i="6" s="1"/>
  <c r="I71" i="6"/>
  <c r="J71" i="6" s="1"/>
  <c r="I79" i="6"/>
  <c r="J79" i="6" s="1"/>
  <c r="I87" i="6"/>
  <c r="J87" i="6" s="1"/>
  <c r="I119" i="6"/>
  <c r="J119" i="6" s="1"/>
  <c r="I107" i="6"/>
  <c r="J107" i="6" s="1"/>
  <c r="I115" i="6"/>
  <c r="J115" i="6" s="1"/>
  <c r="I103" i="6"/>
  <c r="J103" i="6" s="1"/>
  <c r="I111" i="6"/>
  <c r="J111" i="6" s="1"/>
  <c r="J12" i="6"/>
  <c r="J25" i="6"/>
  <c r="J27" i="6"/>
  <c r="J14" i="6"/>
  <c r="J13" i="6"/>
  <c r="J11" i="6"/>
  <c r="J23" i="6"/>
  <c r="J34" i="6"/>
  <c r="J15" i="6"/>
  <c r="J35" i="6"/>
  <c r="A13" i="28" l="1"/>
  <c r="A14" i="28" s="1"/>
  <c r="A15" i="28" s="1"/>
  <c r="G38" i="4"/>
  <c r="G37" i="4"/>
  <c r="G36" i="4"/>
  <c r="G39" i="4"/>
  <c r="G40" i="4"/>
  <c r="G41" i="4"/>
  <c r="G42" i="4"/>
  <c r="G43" i="4"/>
  <c r="G44" i="4"/>
  <c r="G45" i="4"/>
  <c r="G46" i="4"/>
  <c r="G35" i="4"/>
  <c r="G17" i="4"/>
  <c r="G18" i="4"/>
  <c r="G19" i="4"/>
  <c r="G20" i="4"/>
  <c r="G21" i="4"/>
  <c r="G23" i="4"/>
  <c r="G16" i="4"/>
  <c r="G24" i="4"/>
  <c r="G25" i="4"/>
  <c r="G26" i="4"/>
  <c r="G27" i="4"/>
  <c r="G28" i="4"/>
  <c r="G29" i="4"/>
  <c r="G30" i="4"/>
  <c r="G47" i="4" l="1"/>
  <c r="G5" i="4"/>
  <c r="F4" i="4"/>
  <c r="G4" i="4" s="1"/>
  <c r="B14" i="4"/>
  <c r="B11" i="4"/>
  <c r="B9" i="4"/>
  <c r="G3" i="4"/>
  <c r="C23" i="2" l="1"/>
  <c r="C30" i="2"/>
  <c r="C25" i="2"/>
  <c r="C32" i="2"/>
  <c r="C27" i="2"/>
  <c r="C37" i="2"/>
  <c r="C43" i="2" s="1"/>
  <c r="C35" i="2"/>
  <c r="C29" i="2"/>
  <c r="C41" i="2" l="1"/>
  <c r="C39" i="2"/>
  <c r="D51" i="1"/>
  <c r="D50" i="1"/>
  <c r="C50" i="1"/>
  <c r="C48" i="1"/>
  <c r="C10" i="1"/>
  <c r="E49" i="1"/>
  <c r="E48" i="1"/>
  <c r="E47" i="1"/>
  <c r="AI17" i="28" l="1"/>
  <c r="AJ14" i="28"/>
  <c r="AJ13" i="28"/>
  <c r="AJ12" i="28"/>
  <c r="AJ10" i="28"/>
  <c r="AJ8" i="28"/>
  <c r="AJ7" i="28"/>
  <c r="D2" i="15" l="1"/>
  <c r="F3" i="15"/>
  <c r="F4" i="15"/>
  <c r="F5" i="15"/>
  <c r="F6" i="15"/>
  <c r="F7" i="15"/>
  <c r="F8" i="15"/>
  <c r="F9" i="15"/>
  <c r="F10" i="15"/>
  <c r="F11" i="15"/>
  <c r="F12" i="15"/>
  <c r="F13" i="15"/>
  <c r="F2" i="15"/>
  <c r="E2" i="15"/>
  <c r="D3" i="15"/>
  <c r="E3" i="15" s="1"/>
  <c r="D4" i="15"/>
  <c r="E4" i="15" s="1"/>
  <c r="D5" i="15"/>
  <c r="E5" i="15" s="1"/>
  <c r="D6" i="15"/>
  <c r="E6" i="15" s="1"/>
  <c r="G6" i="15" s="1"/>
  <c r="D7" i="15"/>
  <c r="E7" i="15" s="1"/>
  <c r="D8" i="15"/>
  <c r="E8" i="15" s="1"/>
  <c r="D9" i="15"/>
  <c r="E9" i="15" s="1"/>
  <c r="D10" i="15"/>
  <c r="E10" i="15" s="1"/>
  <c r="D11" i="15"/>
  <c r="E11" i="15" s="1"/>
  <c r="D12" i="15"/>
  <c r="E12" i="15" s="1"/>
  <c r="D13" i="15"/>
  <c r="E13" i="15" s="1"/>
  <c r="G12" i="15" l="1"/>
  <c r="G4" i="15"/>
  <c r="G11" i="15"/>
  <c r="G3" i="15"/>
  <c r="G2" i="15"/>
  <c r="G10" i="15"/>
  <c r="G5" i="15"/>
  <c r="B20" i="15"/>
  <c r="G9" i="15"/>
  <c r="G8" i="15"/>
  <c r="G7" i="15"/>
  <c r="G13" i="15"/>
  <c r="B19" i="15"/>
  <c r="F21" i="27"/>
  <c r="D21" i="27"/>
  <c r="G21" i="27" s="1"/>
  <c r="F20" i="27"/>
  <c r="D20" i="27"/>
  <c r="G20" i="27" s="1"/>
  <c r="F19" i="27"/>
  <c r="D19" i="27"/>
  <c r="G19" i="27" s="1"/>
  <c r="G18" i="27"/>
  <c r="F18" i="27"/>
  <c r="D18" i="27"/>
  <c r="F17" i="27"/>
  <c r="D17" i="27"/>
  <c r="G17" i="27" s="1"/>
  <c r="F16" i="27"/>
  <c r="D16" i="27"/>
  <c r="G16" i="27" s="1"/>
  <c r="G15" i="27"/>
  <c r="F15" i="27"/>
  <c r="D15" i="27"/>
  <c r="F14" i="27"/>
  <c r="D14" i="27"/>
  <c r="G14" i="27" s="1"/>
  <c r="F13" i="27"/>
  <c r="D13" i="27"/>
  <c r="G13" i="27" s="1"/>
  <c r="F12" i="27"/>
  <c r="D12" i="27"/>
  <c r="G12" i="27" s="1"/>
  <c r="F11" i="27"/>
  <c r="D11" i="27"/>
  <c r="G11" i="27" s="1"/>
  <c r="F10" i="27"/>
  <c r="D10" i="27"/>
  <c r="G10" i="27" s="1"/>
  <c r="F9" i="27"/>
  <c r="D9" i="27"/>
  <c r="G9" i="27" s="1"/>
  <c r="H21" i="27" l="1"/>
  <c r="I21" i="27" s="1"/>
  <c r="H12" i="27"/>
  <c r="I12" i="27" s="1"/>
  <c r="H16" i="27"/>
  <c r="I16" i="27"/>
  <c r="H9" i="27"/>
  <c r="I9" i="27" s="1"/>
  <c r="H13" i="27"/>
  <c r="I13" i="27" s="1"/>
  <c r="I10" i="27"/>
  <c r="H17" i="27"/>
  <c r="I17" i="27" s="1"/>
  <c r="H20" i="27"/>
  <c r="I20" i="27" s="1"/>
  <c r="H10" i="27"/>
  <c r="H18" i="27"/>
  <c r="I18" i="27" s="1"/>
  <c r="H15" i="27"/>
  <c r="I15" i="27" s="1"/>
  <c r="H14" i="27"/>
  <c r="I14" i="27" s="1"/>
  <c r="H11" i="27"/>
  <c r="I11" i="27" s="1"/>
  <c r="H19" i="27"/>
  <c r="I19" i="27" s="1"/>
  <c r="K25" i="26" l="1"/>
  <c r="J25" i="26"/>
  <c r="I25" i="26"/>
  <c r="H25" i="26"/>
  <c r="G25" i="26"/>
  <c r="F25" i="26"/>
  <c r="K11" i="26"/>
  <c r="N7" i="26" s="1"/>
  <c r="B2" i="26" s="1"/>
  <c r="C2" i="26" s="1"/>
  <c r="J11" i="26"/>
  <c r="N6" i="26" s="1"/>
  <c r="I11" i="26"/>
  <c r="H11" i="26"/>
  <c r="G11" i="26"/>
  <c r="N3" i="26" s="1"/>
  <c r="F11" i="26"/>
  <c r="N2" i="26" s="1"/>
  <c r="N4" i="26" l="1"/>
  <c r="N5" i="26"/>
  <c r="F26" i="25"/>
  <c r="I9" i="25"/>
  <c r="H9" i="25"/>
  <c r="F9" i="25"/>
  <c r="G9" i="25" s="1"/>
  <c r="H8" i="25"/>
  <c r="I8" i="25" s="1"/>
  <c r="F8" i="25"/>
  <c r="G8" i="25" s="1"/>
  <c r="H7" i="25"/>
  <c r="I7" i="25" s="1"/>
  <c r="F7" i="25"/>
  <c r="G7" i="25" s="1"/>
  <c r="K17" i="19" l="1"/>
  <c r="K16" i="19"/>
  <c r="K14" i="19"/>
  <c r="K15" i="19"/>
  <c r="K13" i="19"/>
  <c r="AK11" i="11"/>
  <c r="AK12" i="11"/>
  <c r="AK13" i="11"/>
  <c r="AK14" i="11"/>
  <c r="AK15" i="11"/>
  <c r="AK16" i="11"/>
  <c r="C24" i="24" l="1"/>
  <c r="F22" i="24"/>
  <c r="G22" i="24" s="1"/>
  <c r="D22" i="24"/>
  <c r="E22" i="24" s="1"/>
  <c r="F21" i="24"/>
  <c r="G21" i="24" s="1"/>
  <c r="D21" i="24"/>
  <c r="E21" i="24" s="1"/>
  <c r="I21" i="24" s="1"/>
  <c r="F20" i="24"/>
  <c r="G20" i="24" s="1"/>
  <c r="H20" i="24" s="1"/>
  <c r="D20" i="24"/>
  <c r="E20" i="24" s="1"/>
  <c r="F19" i="24"/>
  <c r="G19" i="24" s="1"/>
  <c r="D19" i="24"/>
  <c r="E19" i="24" s="1"/>
  <c r="F18" i="24"/>
  <c r="G18" i="24" s="1"/>
  <c r="D18" i="24"/>
  <c r="E18" i="24" s="1"/>
  <c r="I18" i="24" s="1"/>
  <c r="F17" i="24"/>
  <c r="G17" i="24" s="1"/>
  <c r="D17" i="24"/>
  <c r="E17" i="24" s="1"/>
  <c r="F16" i="24"/>
  <c r="G16" i="24" s="1"/>
  <c r="D16" i="24"/>
  <c r="E16" i="24" s="1"/>
  <c r="G15" i="24"/>
  <c r="F15" i="24"/>
  <c r="D15" i="24"/>
  <c r="E15" i="24" s="1"/>
  <c r="F14" i="24"/>
  <c r="G14" i="24" s="1"/>
  <c r="D14" i="24"/>
  <c r="E14" i="24" s="1"/>
  <c r="F13" i="24"/>
  <c r="G13" i="24" s="1"/>
  <c r="D13" i="24"/>
  <c r="E13" i="24" s="1"/>
  <c r="F12" i="24"/>
  <c r="G12" i="24" s="1"/>
  <c r="D12" i="24"/>
  <c r="E12" i="24" s="1"/>
  <c r="F11" i="24"/>
  <c r="G11" i="24" s="1"/>
  <c r="D11" i="24"/>
  <c r="E11" i="24" s="1"/>
  <c r="F10" i="24"/>
  <c r="G10" i="24" s="1"/>
  <c r="D10" i="24"/>
  <c r="E10" i="24" s="1"/>
  <c r="F9" i="24"/>
  <c r="G9" i="24" s="1"/>
  <c r="D9" i="24"/>
  <c r="E9" i="24" s="1"/>
  <c r="I9" i="24" s="1"/>
  <c r="F8" i="24"/>
  <c r="G8" i="24" s="1"/>
  <c r="D8" i="24"/>
  <c r="E8" i="24" s="1"/>
  <c r="F7" i="24"/>
  <c r="G7" i="24" s="1"/>
  <c r="D7" i="24"/>
  <c r="E7" i="24" s="1"/>
  <c r="F6" i="24"/>
  <c r="G6" i="24" s="1"/>
  <c r="D6" i="24"/>
  <c r="E6" i="24" s="1"/>
  <c r="I13" i="24" l="1"/>
  <c r="I15" i="24"/>
  <c r="I7" i="24"/>
  <c r="I11" i="24"/>
  <c r="I10" i="24"/>
  <c r="I17" i="24"/>
  <c r="I19" i="24"/>
  <c r="H10" i="24"/>
  <c r="H7" i="24"/>
  <c r="H11" i="24"/>
  <c r="H14" i="24"/>
  <c r="H15" i="24"/>
  <c r="H18" i="24"/>
  <c r="H19" i="24"/>
  <c r="H22" i="24"/>
  <c r="I8" i="24"/>
  <c r="I12" i="24"/>
  <c r="I16" i="24"/>
  <c r="I20" i="24"/>
  <c r="H17" i="24"/>
  <c r="G24" i="24"/>
  <c r="H6" i="24"/>
  <c r="H9" i="24"/>
  <c r="H12" i="24"/>
  <c r="H21" i="24"/>
  <c r="H13" i="24"/>
  <c r="E24" i="24"/>
  <c r="H8" i="24"/>
  <c r="I14" i="24"/>
  <c r="H16" i="24"/>
  <c r="I22" i="24"/>
  <c r="I6" i="24"/>
  <c r="J21" i="23"/>
  <c r="E21" i="23"/>
  <c r="F21" i="23" s="1"/>
  <c r="H21" i="23" s="1"/>
  <c r="J20" i="23"/>
  <c r="E20" i="23"/>
  <c r="F20" i="23" s="1"/>
  <c r="H20" i="23" s="1"/>
  <c r="J19" i="23"/>
  <c r="E19" i="23"/>
  <c r="F19" i="23" s="1"/>
  <c r="H19" i="23" s="1"/>
  <c r="J18" i="23"/>
  <c r="E18" i="23"/>
  <c r="F18" i="23" s="1"/>
  <c r="H18" i="23" s="1"/>
  <c r="J17" i="23"/>
  <c r="E17" i="23"/>
  <c r="F17" i="23" s="1"/>
  <c r="H17" i="23" s="1"/>
  <c r="J16" i="23"/>
  <c r="E16" i="23"/>
  <c r="F16" i="23" s="1"/>
  <c r="H16" i="23" s="1"/>
  <c r="J15" i="23"/>
  <c r="E15" i="23"/>
  <c r="F15" i="23" s="1"/>
  <c r="H15" i="23" s="1"/>
  <c r="J14" i="23"/>
  <c r="E14" i="23"/>
  <c r="F14" i="23" s="1"/>
  <c r="H14" i="23" s="1"/>
  <c r="E13" i="23"/>
  <c r="F13" i="23" s="1"/>
  <c r="H13" i="23" s="1"/>
  <c r="E12" i="23"/>
  <c r="F12" i="23" s="1"/>
  <c r="H12" i="23" s="1"/>
  <c r="J11" i="23"/>
  <c r="E11" i="23"/>
  <c r="F11" i="23" s="1"/>
  <c r="H11" i="23" s="1"/>
  <c r="J10" i="23"/>
  <c r="E10" i="23"/>
  <c r="F10" i="23" s="1"/>
  <c r="H10" i="23" s="1"/>
  <c r="J9" i="23"/>
  <c r="E9" i="23"/>
  <c r="F9" i="23" s="1"/>
  <c r="H9" i="23" s="1"/>
  <c r="I24" i="24" l="1"/>
  <c r="H24" i="24"/>
  <c r="I14" i="23"/>
  <c r="K14" i="23" s="1"/>
  <c r="L14" i="23" s="1"/>
  <c r="I10" i="23"/>
  <c r="K10" i="23" s="1"/>
  <c r="L10" i="23" s="1"/>
  <c r="I21" i="23"/>
  <c r="K21" i="23"/>
  <c r="L21" i="23" s="1"/>
  <c r="I18" i="23"/>
  <c r="K18" i="23" s="1"/>
  <c r="L18" i="23" s="1"/>
  <c r="I15" i="23"/>
  <c r="K15" i="23" s="1"/>
  <c r="L15" i="23" s="1"/>
  <c r="I11" i="23"/>
  <c r="K11" i="23" s="1"/>
  <c r="L11" i="23" s="1"/>
  <c r="I19" i="23"/>
  <c r="K19" i="23" s="1"/>
  <c r="L19" i="23" s="1"/>
  <c r="I16" i="23"/>
  <c r="K16" i="23" s="1"/>
  <c r="L16" i="23" s="1"/>
  <c r="I12" i="23"/>
  <c r="J12" i="23"/>
  <c r="K12" i="23" s="1"/>
  <c r="L12" i="23" s="1"/>
  <c r="I20" i="23"/>
  <c r="K20" i="23" s="1"/>
  <c r="L20" i="23" s="1"/>
  <c r="I9" i="23"/>
  <c r="K9" i="23" s="1"/>
  <c r="L9" i="23" s="1"/>
  <c r="J13" i="23"/>
  <c r="I13" i="23"/>
  <c r="I17" i="23"/>
  <c r="K17" i="23" s="1"/>
  <c r="L17" i="23" s="1"/>
  <c r="O8" i="3"/>
  <c r="O9" i="3"/>
  <c r="O10" i="3"/>
  <c r="O11" i="3"/>
  <c r="O12" i="3"/>
  <c r="O13" i="3"/>
  <c r="O14" i="3"/>
  <c r="O15" i="3"/>
  <c r="O16" i="3"/>
  <c r="O17" i="3"/>
  <c r="O18" i="3"/>
  <c r="O7" i="3"/>
  <c r="K13" i="23" l="1"/>
  <c r="L13" i="23" s="1"/>
  <c r="J73" i="1"/>
  <c r="A62" i="1" l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62" i="1"/>
  <c r="E62" i="1" s="1"/>
  <c r="A63" i="1" l="1"/>
  <c r="A66" i="1"/>
  <c r="E72" i="1"/>
  <c r="E74" i="1" s="1"/>
  <c r="H33" i="1"/>
  <c r="K73" i="1" l="1"/>
  <c r="I73" i="1"/>
  <c r="A64" i="1"/>
  <c r="A65" i="1" s="1"/>
  <c r="A67" i="1"/>
  <c r="B17" i="20"/>
  <c r="B14" i="20"/>
  <c r="B8" i="20"/>
  <c r="E14" i="10"/>
  <c r="A68" i="1" l="1"/>
  <c r="B18" i="20"/>
  <c r="A69" i="1" l="1"/>
  <c r="B24" i="17"/>
  <c r="B23" i="17"/>
  <c r="B22" i="17"/>
  <c r="B21" i="17"/>
  <c r="F14" i="15"/>
  <c r="D14" i="15"/>
  <c r="E14" i="15" s="1"/>
  <c r="G14" i="15" s="1"/>
  <c r="I7" i="13"/>
  <c r="I8" i="13"/>
  <c r="I9" i="13"/>
  <c r="I10" i="13"/>
  <c r="I11" i="13"/>
  <c r="I12" i="13"/>
  <c r="I13" i="13"/>
  <c r="I14" i="13"/>
  <c r="I15" i="13"/>
  <c r="I16" i="13"/>
  <c r="D9" i="13"/>
  <c r="D10" i="13"/>
  <c r="D11" i="13"/>
  <c r="D12" i="13"/>
  <c r="D13" i="13"/>
  <c r="D14" i="13"/>
  <c r="D15" i="13"/>
  <c r="D16" i="13"/>
  <c r="E3" i="12"/>
  <c r="E4" i="12" s="1"/>
  <c r="E5" i="12" s="1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N22" i="11"/>
  <c r="N21" i="11"/>
  <c r="N20" i="11"/>
  <c r="A70" i="1" l="1"/>
  <c r="A71" i="1"/>
  <c r="K15" i="3"/>
  <c r="N15" i="3" s="1"/>
  <c r="K18" i="3"/>
  <c r="N18" i="3" s="1"/>
  <c r="K10" i="3"/>
  <c r="N10" i="3" s="1"/>
  <c r="K13" i="3"/>
  <c r="N13" i="3" s="1"/>
  <c r="K17" i="3"/>
  <c r="N17" i="3" s="1"/>
  <c r="K14" i="3"/>
  <c r="N14" i="3" s="1"/>
  <c r="K9" i="3"/>
  <c r="N9" i="3" s="1"/>
  <c r="K8" i="3"/>
  <c r="N8" i="3" s="1"/>
  <c r="K7" i="3"/>
  <c r="N7" i="3" s="1"/>
  <c r="K12" i="3"/>
  <c r="N12" i="3" s="1"/>
  <c r="K16" i="3"/>
  <c r="K11" i="3"/>
  <c r="N11" i="3" s="1"/>
  <c r="E52" i="4"/>
  <c r="E53" i="4"/>
  <c r="E54" i="4"/>
  <c r="E55" i="4"/>
  <c r="E56" i="4"/>
  <c r="E57" i="4"/>
  <c r="E58" i="4"/>
  <c r="E59" i="4"/>
  <c r="E51" i="4"/>
  <c r="E36" i="4"/>
  <c r="E37" i="4"/>
  <c r="E38" i="4"/>
  <c r="E39" i="4"/>
  <c r="E40" i="4"/>
  <c r="E41" i="4"/>
  <c r="E42" i="4"/>
  <c r="E43" i="4"/>
  <c r="E44" i="4"/>
  <c r="E45" i="4"/>
  <c r="E46" i="4"/>
  <c r="E35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16" i="4"/>
  <c r="E4" i="4"/>
  <c r="E5" i="4"/>
  <c r="E6" i="4"/>
  <c r="E7" i="4"/>
  <c r="E8" i="4"/>
  <c r="E9" i="4"/>
  <c r="E10" i="4"/>
  <c r="E11" i="4"/>
  <c r="E3" i="4"/>
  <c r="H15" i="3"/>
  <c r="I15" i="3" s="1"/>
  <c r="J15" i="3" s="1"/>
  <c r="M15" i="3" s="1"/>
  <c r="H18" i="3"/>
  <c r="I18" i="3" s="1"/>
  <c r="J18" i="3" s="1"/>
  <c r="M18" i="3" s="1"/>
  <c r="H10" i="3"/>
  <c r="I10" i="3" s="1"/>
  <c r="J10" i="3" s="1"/>
  <c r="M10" i="3" s="1"/>
  <c r="H13" i="3"/>
  <c r="I13" i="3" s="1"/>
  <c r="J13" i="3" s="1"/>
  <c r="M13" i="3" s="1"/>
  <c r="H17" i="3"/>
  <c r="I17" i="3" s="1"/>
  <c r="J17" i="3" s="1"/>
  <c r="M17" i="3" s="1"/>
  <c r="H14" i="3"/>
  <c r="I14" i="3" s="1"/>
  <c r="J14" i="3" s="1"/>
  <c r="M14" i="3" s="1"/>
  <c r="H9" i="3"/>
  <c r="I9" i="3" s="1"/>
  <c r="J9" i="3" s="1"/>
  <c r="M9" i="3" s="1"/>
  <c r="H8" i="3"/>
  <c r="I8" i="3" s="1"/>
  <c r="J8" i="3" s="1"/>
  <c r="M8" i="3" s="1"/>
  <c r="H7" i="3"/>
  <c r="H12" i="3"/>
  <c r="I12" i="3" s="1"/>
  <c r="J12" i="3" s="1"/>
  <c r="M12" i="3" s="1"/>
  <c r="H16" i="3"/>
  <c r="H11" i="3"/>
  <c r="I11" i="3" s="1"/>
  <c r="J11" i="3" s="1"/>
  <c r="M11" i="3" s="1"/>
  <c r="F41" i="1"/>
  <c r="G41" i="1" s="1"/>
  <c r="F42" i="1"/>
  <c r="G42" i="1" s="1"/>
  <c r="F43" i="1"/>
  <c r="F44" i="1"/>
  <c r="G44" i="1" s="1"/>
  <c r="F45" i="1"/>
  <c r="G45" i="1" s="1"/>
  <c r="H45" i="1" s="1"/>
  <c r="F46" i="1"/>
  <c r="G46" i="1" s="1"/>
  <c r="F40" i="1"/>
  <c r="G40" i="1" s="1"/>
  <c r="H40" i="1" s="1"/>
  <c r="L20" i="1"/>
  <c r="F3" i="1"/>
  <c r="F4" i="1"/>
  <c r="F2" i="1"/>
  <c r="C26" i="3" l="1"/>
  <c r="N16" i="3"/>
  <c r="F26" i="3"/>
  <c r="I16" i="3"/>
  <c r="I7" i="3"/>
  <c r="C24" i="3"/>
  <c r="H46" i="1"/>
  <c r="G43" i="1"/>
  <c r="H43" i="1" s="1"/>
  <c r="H44" i="1"/>
  <c r="H42" i="1"/>
  <c r="H41" i="1"/>
  <c r="E47" i="4"/>
  <c r="E3" i="9"/>
  <c r="G9" i="6"/>
  <c r="G10" i="6"/>
  <c r="G33" i="6"/>
  <c r="G31" i="6"/>
  <c r="G16" i="6"/>
  <c r="G2" i="6"/>
  <c r="F9" i="6"/>
  <c r="F10" i="6"/>
  <c r="F33" i="6"/>
  <c r="F31" i="6"/>
  <c r="F16" i="6"/>
  <c r="F2" i="6"/>
  <c r="E33" i="6"/>
  <c r="E31" i="6"/>
  <c r="E16" i="6"/>
  <c r="E2" i="6"/>
  <c r="M8" i="18"/>
  <c r="F8" i="18"/>
  <c r="H8" i="18" s="1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F9" i="18"/>
  <c r="G9" i="18" s="1"/>
  <c r="H9" i="18" s="1"/>
  <c r="F10" i="18"/>
  <c r="G10" i="18" s="1"/>
  <c r="H10" i="18" s="1"/>
  <c r="F11" i="18"/>
  <c r="G11" i="18" s="1"/>
  <c r="F12" i="18"/>
  <c r="G12" i="18" s="1"/>
  <c r="F13" i="18"/>
  <c r="G13" i="18" s="1"/>
  <c r="H13" i="18" s="1"/>
  <c r="F14" i="18"/>
  <c r="G14" i="18" s="1"/>
  <c r="H14" i="18" s="1"/>
  <c r="F15" i="18"/>
  <c r="G15" i="18" s="1"/>
  <c r="F16" i="18"/>
  <c r="G16" i="18" s="1"/>
  <c r="F17" i="18"/>
  <c r="G17" i="18" s="1"/>
  <c r="H17" i="18" s="1"/>
  <c r="F18" i="18"/>
  <c r="G18" i="18" s="1"/>
  <c r="H18" i="18" s="1"/>
  <c r="F19" i="18"/>
  <c r="G19" i="18" s="1"/>
  <c r="F20" i="18"/>
  <c r="G20" i="18" s="1"/>
  <c r="F21" i="18"/>
  <c r="G21" i="18" s="1"/>
  <c r="H21" i="18" s="1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4" i="9"/>
  <c r="H3" i="9"/>
  <c r="E4" i="9"/>
  <c r="F4" i="9" s="1"/>
  <c r="E5" i="9"/>
  <c r="F5" i="9" s="1"/>
  <c r="I5" i="9" s="1"/>
  <c r="E6" i="9"/>
  <c r="F6" i="9" s="1"/>
  <c r="I6" i="9" s="1"/>
  <c r="E7" i="9"/>
  <c r="F7" i="9" s="1"/>
  <c r="I7" i="9" s="1"/>
  <c r="E8" i="9"/>
  <c r="F8" i="9" s="1"/>
  <c r="I8" i="9" s="1"/>
  <c r="E9" i="9"/>
  <c r="F9" i="9" s="1"/>
  <c r="I9" i="9" s="1"/>
  <c r="E10" i="9"/>
  <c r="F10" i="9" s="1"/>
  <c r="I10" i="9" s="1"/>
  <c r="E11" i="9"/>
  <c r="F11" i="9" s="1"/>
  <c r="I11" i="9" s="1"/>
  <c r="E12" i="9"/>
  <c r="F12" i="9" s="1"/>
  <c r="I12" i="9" s="1"/>
  <c r="E13" i="9"/>
  <c r="F13" i="9" s="1"/>
  <c r="I13" i="9" s="1"/>
  <c r="E14" i="9"/>
  <c r="F14" i="9" s="1"/>
  <c r="I14" i="9" s="1"/>
  <c r="E15" i="9"/>
  <c r="F15" i="9" s="1"/>
  <c r="I15" i="9" s="1"/>
  <c r="E16" i="9"/>
  <c r="F16" i="9" s="1"/>
  <c r="I16" i="9" s="1"/>
  <c r="E17" i="9"/>
  <c r="F17" i="9" s="1"/>
  <c r="I17" i="9" s="1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3" i="8"/>
  <c r="D4" i="8"/>
  <c r="E4" i="8" s="1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3" i="8"/>
  <c r="E3" i="8" s="1"/>
  <c r="K3" i="17"/>
  <c r="K2" i="17"/>
  <c r="K1" i="17"/>
  <c r="F66" i="2"/>
  <c r="F67" i="2"/>
  <c r="F68" i="2"/>
  <c r="F69" i="2"/>
  <c r="F70" i="2"/>
  <c r="F71" i="2"/>
  <c r="F72" i="2"/>
  <c r="F61" i="2"/>
  <c r="F62" i="2"/>
  <c r="F63" i="2"/>
  <c r="F64" i="2"/>
  <c r="F65" i="2"/>
  <c r="F60" i="2"/>
  <c r="F59" i="2"/>
  <c r="F57" i="2"/>
  <c r="F56" i="2"/>
  <c r="H60" i="2"/>
  <c r="K60" i="2" s="1"/>
  <c r="L60" i="2" s="1"/>
  <c r="H61" i="2"/>
  <c r="K61" i="2" s="1"/>
  <c r="L61" i="2" s="1"/>
  <c r="H62" i="2"/>
  <c r="K62" i="2" s="1"/>
  <c r="L62" i="2" s="1"/>
  <c r="H63" i="2"/>
  <c r="K63" i="2" s="1"/>
  <c r="L63" i="2" s="1"/>
  <c r="J61" i="2"/>
  <c r="J62" i="2"/>
  <c r="J63" i="2"/>
  <c r="J60" i="2"/>
  <c r="I61" i="2"/>
  <c r="I62" i="2"/>
  <c r="I63" i="2"/>
  <c r="F50" i="2"/>
  <c r="F51" i="2"/>
  <c r="F52" i="2"/>
  <c r="F53" i="2"/>
  <c r="J16" i="3" l="1"/>
  <c r="D26" i="3"/>
  <c r="H16" i="8"/>
  <c r="H12" i="8"/>
  <c r="H4" i="8"/>
  <c r="H8" i="8"/>
  <c r="H10" i="8"/>
  <c r="H3" i="8"/>
  <c r="H14" i="8"/>
  <c r="H6" i="8"/>
  <c r="H15" i="8"/>
  <c r="H11" i="8"/>
  <c r="H7" i="8"/>
  <c r="H17" i="8"/>
  <c r="H13" i="8"/>
  <c r="H9" i="8"/>
  <c r="H5" i="8"/>
  <c r="J7" i="3"/>
  <c r="D24" i="3"/>
  <c r="I4" i="9"/>
  <c r="I3" i="9"/>
  <c r="H20" i="18"/>
  <c r="J20" i="18" s="1"/>
  <c r="H16" i="18"/>
  <c r="J16" i="18" s="1"/>
  <c r="L16" i="18" s="1"/>
  <c r="H12" i="18"/>
  <c r="J12" i="18" s="1"/>
  <c r="L12" i="18" s="1"/>
  <c r="H19" i="18"/>
  <c r="J19" i="18" s="1"/>
  <c r="H15" i="18"/>
  <c r="J15" i="18" s="1"/>
  <c r="L15" i="18" s="1"/>
  <c r="H11" i="18"/>
  <c r="J11" i="18" s="1"/>
  <c r="L11" i="18" s="1"/>
  <c r="L8" i="18"/>
  <c r="J18" i="18"/>
  <c r="J14" i="18"/>
  <c r="L14" i="18" s="1"/>
  <c r="J10" i="18"/>
  <c r="L10" i="18" s="1"/>
  <c r="J21" i="18"/>
  <c r="J17" i="18"/>
  <c r="L17" i="18" s="1"/>
  <c r="J13" i="18"/>
  <c r="L13" i="18" s="1"/>
  <c r="J9" i="18"/>
  <c r="L9" i="18" s="1"/>
  <c r="F41" i="2"/>
  <c r="F42" i="2"/>
  <c r="F43" i="2"/>
  <c r="F44" i="2"/>
  <c r="F45" i="2"/>
  <c r="F46" i="2"/>
  <c r="F40" i="2"/>
  <c r="F39" i="2"/>
  <c r="F38" i="2"/>
  <c r="F37" i="2"/>
  <c r="G13" i="2"/>
  <c r="G14" i="2"/>
  <c r="H7" i="2"/>
  <c r="I7" i="2"/>
  <c r="J7" i="2"/>
  <c r="K7" i="2"/>
  <c r="G7" i="2"/>
  <c r="H6" i="2"/>
  <c r="I6" i="2"/>
  <c r="J6" i="2"/>
  <c r="K6" i="2"/>
  <c r="G6" i="2"/>
  <c r="H5" i="2"/>
  <c r="I5" i="2"/>
  <c r="J5" i="2"/>
  <c r="K5" i="2"/>
  <c r="G5" i="2"/>
  <c r="D28" i="5"/>
  <c r="D29" i="5"/>
  <c r="D30" i="5"/>
  <c r="D27" i="5"/>
  <c r="C28" i="5"/>
  <c r="C29" i="5"/>
  <c r="C30" i="5"/>
  <c r="C27" i="5"/>
  <c r="B28" i="5"/>
  <c r="B29" i="5"/>
  <c r="B30" i="5"/>
  <c r="B27" i="5"/>
  <c r="AI3" i="11"/>
  <c r="AI4" i="11"/>
  <c r="AI5" i="11"/>
  <c r="AI6" i="11"/>
  <c r="AI7" i="11"/>
  <c r="AI8" i="11"/>
  <c r="AI9" i="11"/>
  <c r="AI10" i="11"/>
  <c r="AI2" i="11"/>
  <c r="AH3" i="11"/>
  <c r="AJ3" i="11" s="1"/>
  <c r="AH4" i="11"/>
  <c r="AJ4" i="11" s="1"/>
  <c r="AH5" i="11"/>
  <c r="AJ5" i="11" s="1"/>
  <c r="AH6" i="11"/>
  <c r="AJ6" i="11" s="1"/>
  <c r="AH7" i="11"/>
  <c r="AJ7" i="11" s="1"/>
  <c r="AH8" i="11"/>
  <c r="AJ8" i="11" s="1"/>
  <c r="AH9" i="11"/>
  <c r="AJ9" i="11" s="1"/>
  <c r="AH10" i="11"/>
  <c r="AJ10" i="11" s="1"/>
  <c r="AH2" i="11"/>
  <c r="AJ2" i="11" s="1"/>
  <c r="AG2" i="11"/>
  <c r="AK2" i="11" s="1"/>
  <c r="AL2" i="11" s="1"/>
  <c r="AG3" i="11"/>
  <c r="AK3" i="11" s="1"/>
  <c r="AL3" i="11" s="1"/>
  <c r="AG4" i="11"/>
  <c r="AK4" i="11" s="1"/>
  <c r="AL4" i="11" s="1"/>
  <c r="AG5" i="11"/>
  <c r="AK5" i="11" s="1"/>
  <c r="AL5" i="11" s="1"/>
  <c r="AG6" i="11"/>
  <c r="AK6" i="11" s="1"/>
  <c r="AL6" i="11" s="1"/>
  <c r="AG7" i="11"/>
  <c r="AK7" i="11" s="1"/>
  <c r="AL7" i="11" s="1"/>
  <c r="AG8" i="11"/>
  <c r="AK8" i="11" s="1"/>
  <c r="AL8" i="11" s="1"/>
  <c r="AG9" i="11"/>
  <c r="AK9" i="11" s="1"/>
  <c r="AL9" i="11" s="1"/>
  <c r="AG10" i="11"/>
  <c r="AK10" i="11" s="1"/>
  <c r="AL10" i="11" s="1"/>
  <c r="M16" i="3" l="1"/>
  <c r="H26" i="3" s="1"/>
  <c r="E26" i="3"/>
  <c r="M7" i="3"/>
  <c r="E24" i="3"/>
  <c r="L19" i="18"/>
  <c r="K21" i="18"/>
  <c r="L21" i="18" s="1"/>
  <c r="L18" i="18"/>
  <c r="L20" i="18"/>
  <c r="G3" i="7"/>
  <c r="G4" i="7"/>
  <c r="G5" i="7"/>
  <c r="G6" i="7"/>
  <c r="G7" i="7"/>
  <c r="G8" i="7"/>
  <c r="G2" i="7"/>
  <c r="F3" i="7"/>
  <c r="F4" i="7"/>
  <c r="F5" i="7"/>
  <c r="F6" i="7"/>
  <c r="F7" i="7"/>
  <c r="F8" i="7"/>
  <c r="F2" i="7"/>
  <c r="H2" i="7" s="1"/>
  <c r="E2" i="7"/>
  <c r="E3" i="7"/>
  <c r="E4" i="7"/>
  <c r="E5" i="7"/>
  <c r="H5" i="7" s="1"/>
  <c r="E6" i="7"/>
  <c r="E7" i="7"/>
  <c r="H7" i="7" s="1"/>
  <c r="E8" i="7"/>
  <c r="H14" i="7"/>
  <c r="H13" i="7"/>
  <c r="H12" i="7"/>
  <c r="H11" i="7"/>
  <c r="H10" i="7"/>
  <c r="H9" i="7"/>
  <c r="H4" i="7"/>
  <c r="H17" i="6"/>
  <c r="H18" i="6"/>
  <c r="I18" i="6" s="1"/>
  <c r="H19" i="6"/>
  <c r="H20" i="6"/>
  <c r="I20" i="6" s="1"/>
  <c r="H21" i="6"/>
  <c r="H22" i="6"/>
  <c r="I22" i="6" s="1"/>
  <c r="H9" i="6"/>
  <c r="I9" i="6" s="1"/>
  <c r="H10" i="6"/>
  <c r="H33" i="6"/>
  <c r="H31" i="6"/>
  <c r="H16" i="6"/>
  <c r="H2" i="6"/>
  <c r="M3" i="4"/>
  <c r="M16" i="4"/>
  <c r="M17" i="4"/>
  <c r="M18" i="4"/>
  <c r="M19" i="4"/>
  <c r="M20" i="4"/>
  <c r="M21" i="4"/>
  <c r="M22" i="4"/>
  <c r="M23" i="4"/>
  <c r="M15" i="4"/>
  <c r="M4" i="4"/>
  <c r="M5" i="4"/>
  <c r="M6" i="4"/>
  <c r="M7" i="4"/>
  <c r="M8" i="4"/>
  <c r="M9" i="4"/>
  <c r="M10" i="4"/>
  <c r="J23" i="4"/>
  <c r="J22" i="4"/>
  <c r="J21" i="4"/>
  <c r="J20" i="4"/>
  <c r="J19" i="4"/>
  <c r="J18" i="4"/>
  <c r="J17" i="4"/>
  <c r="J16" i="4"/>
  <c r="J15" i="4"/>
  <c r="J11" i="4"/>
  <c r="J10" i="4"/>
  <c r="J9" i="4"/>
  <c r="J8" i="4"/>
  <c r="J7" i="4"/>
  <c r="J6" i="4"/>
  <c r="J5" i="4"/>
  <c r="J4" i="4"/>
  <c r="J3" i="4"/>
  <c r="U12" i="3"/>
  <c r="U8" i="3"/>
  <c r="H8" i="7" l="1"/>
  <c r="H3" i="7"/>
  <c r="M11" i="4"/>
  <c r="H6" i="7"/>
  <c r="I6" i="7" s="1"/>
  <c r="J6" i="7" s="1"/>
  <c r="I21" i="6"/>
  <c r="J21" i="6" s="1"/>
  <c r="I19" i="6"/>
  <c r="J19" i="6" s="1"/>
  <c r="I17" i="6"/>
  <c r="J17" i="6" s="1"/>
  <c r="I2" i="6"/>
  <c r="J2" i="6" s="1"/>
  <c r="J22" i="6"/>
  <c r="J20" i="6"/>
  <c r="J18" i="6"/>
  <c r="J9" i="6"/>
  <c r="I2" i="7"/>
  <c r="J2" i="7" s="1"/>
  <c r="I3" i="7"/>
  <c r="J3" i="7" s="1"/>
  <c r="I4" i="7"/>
  <c r="J4" i="7" s="1"/>
  <c r="I5" i="7"/>
  <c r="J5" i="7" s="1"/>
  <c r="I7" i="7"/>
  <c r="J7" i="7" s="1"/>
  <c r="I8" i="7"/>
  <c r="J8" i="7" s="1"/>
  <c r="I9" i="7"/>
  <c r="J9" i="7" s="1"/>
  <c r="I10" i="7"/>
  <c r="J10" i="7" s="1"/>
  <c r="I11" i="7"/>
  <c r="J11" i="7" s="1"/>
  <c r="I12" i="7"/>
  <c r="J12" i="7" s="1"/>
  <c r="I13" i="7"/>
  <c r="J13" i="7" s="1"/>
  <c r="I14" i="7"/>
  <c r="J14" i="7" s="1"/>
  <c r="I16" i="6"/>
  <c r="J16" i="6" s="1"/>
  <c r="I31" i="6"/>
  <c r="J31" i="6" s="1"/>
  <c r="I33" i="6"/>
  <c r="J33" i="6" s="1"/>
  <c r="I10" i="6"/>
  <c r="J10" i="6" s="1"/>
  <c r="G24" i="3" l="1"/>
  <c r="F24" i="3"/>
  <c r="H24" i="3"/>
  <c r="E59" i="1"/>
  <c r="G73" i="1"/>
  <c r="E60" i="1"/>
  <c r="B59" i="1"/>
  <c r="H73" i="1"/>
</calcChain>
</file>

<file path=xl/sharedStrings.xml><?xml version="1.0" encoding="utf-8"?>
<sst xmlns="http://schemas.openxmlformats.org/spreadsheetml/2006/main" count="2123" uniqueCount="542">
  <si>
    <t>Name</t>
  </si>
  <si>
    <t>Urdu</t>
  </si>
  <si>
    <t>English</t>
  </si>
  <si>
    <t>Maths</t>
  </si>
  <si>
    <t>Physics</t>
  </si>
  <si>
    <t>Islamiat</t>
  </si>
  <si>
    <t>Obtained Marks</t>
  </si>
  <si>
    <t>%Age</t>
  </si>
  <si>
    <t>Grade</t>
  </si>
  <si>
    <t>Status</t>
  </si>
  <si>
    <t>Position</t>
  </si>
  <si>
    <t>Mohsin</t>
  </si>
  <si>
    <t>Hamid</t>
  </si>
  <si>
    <t>Asad</t>
  </si>
  <si>
    <t>Noman</t>
  </si>
  <si>
    <t>Ikram</t>
  </si>
  <si>
    <t>Bilal</t>
  </si>
  <si>
    <t>Noor Ali</t>
  </si>
  <si>
    <t>Sadaf</t>
  </si>
  <si>
    <t>Sidra</t>
  </si>
  <si>
    <t>Aslam</t>
  </si>
  <si>
    <t>Waseem</t>
  </si>
  <si>
    <t>Kamal</t>
  </si>
  <si>
    <t>General Formula</t>
  </si>
  <si>
    <t>Result</t>
  </si>
  <si>
    <t>Range Formula</t>
  </si>
  <si>
    <t>Number to Number</t>
  </si>
  <si>
    <t>Number to Alphabet</t>
  </si>
  <si>
    <t>Bond No.</t>
  </si>
  <si>
    <t>Prize</t>
  </si>
  <si>
    <t>Alphabet to Number</t>
  </si>
  <si>
    <t>Alphabet to Alphabet</t>
  </si>
  <si>
    <t>Nmber to Alphabet</t>
  </si>
  <si>
    <t>Item</t>
  </si>
  <si>
    <t>Price</t>
  </si>
  <si>
    <t>Coca Cola</t>
  </si>
  <si>
    <t>Chicken</t>
  </si>
  <si>
    <t>Total</t>
  </si>
  <si>
    <t>Letter</t>
  </si>
  <si>
    <t>Sound</t>
  </si>
  <si>
    <t>A</t>
  </si>
  <si>
    <t>B</t>
  </si>
  <si>
    <t>C</t>
  </si>
  <si>
    <t>D</t>
  </si>
  <si>
    <t>E</t>
  </si>
  <si>
    <t>Date</t>
  </si>
  <si>
    <t>Income</t>
  </si>
  <si>
    <t>Expense</t>
  </si>
  <si>
    <t>TCC PVT. LTD</t>
  </si>
  <si>
    <t>Profit</t>
  </si>
  <si>
    <t>ID</t>
  </si>
  <si>
    <t>Rank</t>
  </si>
  <si>
    <t>Basic
Salary</t>
  </si>
  <si>
    <t>Rent
Allowance</t>
  </si>
  <si>
    <t>Medical
Allowance</t>
  </si>
  <si>
    <t>Convanyance</t>
  </si>
  <si>
    <t>Total
Salary</t>
  </si>
  <si>
    <t>Income
Tax</t>
  </si>
  <si>
    <t>Gross
Salary</t>
  </si>
  <si>
    <t>Jamil</t>
  </si>
  <si>
    <t>Ahsan</t>
  </si>
  <si>
    <t>Shahid</t>
  </si>
  <si>
    <t>Salam</t>
  </si>
  <si>
    <t>Noor</t>
  </si>
  <si>
    <t>Shabeer</t>
  </si>
  <si>
    <t>Arshad</t>
  </si>
  <si>
    <t>Jamal</t>
  </si>
  <si>
    <t>Waqar</t>
  </si>
  <si>
    <t>Mehtab</t>
  </si>
  <si>
    <t>Manager</t>
  </si>
  <si>
    <t>Ass. Manager</t>
  </si>
  <si>
    <t>Officeboy</t>
  </si>
  <si>
    <t>Cashier</t>
  </si>
  <si>
    <t>MD</t>
  </si>
  <si>
    <t>Accountant</t>
  </si>
  <si>
    <t>Security Guard</t>
  </si>
  <si>
    <t>ID No.</t>
  </si>
  <si>
    <t>Work Days</t>
  </si>
  <si>
    <t>Work Hours</t>
  </si>
  <si>
    <t>Amount</t>
  </si>
  <si>
    <t>Over Time Hours</t>
  </si>
  <si>
    <t>Total Salary</t>
  </si>
  <si>
    <t>Al-Abid Silk Mill PVT. Ltd. Karachi</t>
  </si>
  <si>
    <t>Safeer</t>
  </si>
  <si>
    <t>Anwer</t>
  </si>
  <si>
    <t>Quarter 1</t>
  </si>
  <si>
    <t>Quarter 2</t>
  </si>
  <si>
    <t>Quarter 3</t>
  </si>
  <si>
    <t>Quarter 4</t>
  </si>
  <si>
    <t>Maximum</t>
  </si>
  <si>
    <t>Minimum</t>
  </si>
  <si>
    <t>Average</t>
  </si>
  <si>
    <t>Present</t>
  </si>
  <si>
    <t>Absent</t>
  </si>
  <si>
    <t>Leave</t>
  </si>
  <si>
    <t>Remarks</t>
  </si>
  <si>
    <t>Asim</t>
  </si>
  <si>
    <t>Qasim</t>
  </si>
  <si>
    <t>Wahab</t>
  </si>
  <si>
    <t>p</t>
  </si>
  <si>
    <t>a</t>
  </si>
  <si>
    <t>count</t>
  </si>
  <si>
    <t>counta</t>
  </si>
  <si>
    <t>countblank</t>
  </si>
  <si>
    <t>countif</t>
  </si>
  <si>
    <t>s</t>
  </si>
  <si>
    <t>d</t>
  </si>
  <si>
    <t>f</t>
  </si>
  <si>
    <t>Register has been done.</t>
  </si>
  <si>
    <t>counts number only</t>
  </si>
  <si>
    <t>Count numeric and string both</t>
  </si>
  <si>
    <t>count blank cells in a range</t>
  </si>
  <si>
    <t>Proper</t>
  </si>
  <si>
    <t>Lower</t>
  </si>
  <si>
    <t>Length</t>
  </si>
  <si>
    <t>IMRAN KHAN</t>
  </si>
  <si>
    <t>GUL KHAN</t>
  </si>
  <si>
    <t>JAMAL KHAN</t>
  </si>
  <si>
    <t>KAMAL KHAN AFRIDI</t>
  </si>
  <si>
    <t>SUMMIT BANK</t>
  </si>
  <si>
    <t>Deposited Amount</t>
  </si>
  <si>
    <t>Withdrawn Amount</t>
  </si>
  <si>
    <t>Balance</t>
  </si>
  <si>
    <t>Scale</t>
  </si>
  <si>
    <t>Salary</t>
  </si>
  <si>
    <t>Designation</t>
  </si>
  <si>
    <t>IF &amp; AND</t>
  </si>
  <si>
    <t>Cash Officer</t>
  </si>
  <si>
    <t>Security</t>
  </si>
  <si>
    <t>Guard</t>
  </si>
  <si>
    <t>IF &amp; OR</t>
  </si>
  <si>
    <t>Addition</t>
  </si>
  <si>
    <t>Subtraction</t>
  </si>
  <si>
    <t>Multiplication</t>
  </si>
  <si>
    <t>Division</t>
  </si>
  <si>
    <t>Percentage</t>
  </si>
  <si>
    <t>If</t>
  </si>
  <si>
    <t>If Or</t>
  </si>
  <si>
    <t>If and</t>
  </si>
  <si>
    <t>Sum (Array)</t>
  </si>
  <si>
    <t>Count</t>
  </si>
  <si>
    <t>Counta</t>
  </si>
  <si>
    <t>Done</t>
  </si>
  <si>
    <t>Formulas</t>
  </si>
  <si>
    <t>Sin</t>
  </si>
  <si>
    <t>Cos</t>
  </si>
  <si>
    <t>Tan</t>
  </si>
  <si>
    <t>Len</t>
  </si>
  <si>
    <t>Large</t>
  </si>
  <si>
    <t>Power</t>
  </si>
  <si>
    <t>now</t>
  </si>
  <si>
    <t>Sqrt</t>
  </si>
  <si>
    <t>concatenate</t>
  </si>
  <si>
    <t>vlookup</t>
  </si>
  <si>
    <t>hlookup</t>
  </si>
  <si>
    <t>proper</t>
  </si>
  <si>
    <t>lower</t>
  </si>
  <si>
    <t>small</t>
  </si>
  <si>
    <t>rank</t>
  </si>
  <si>
    <t>median</t>
  </si>
  <si>
    <t>deviation</t>
  </si>
  <si>
    <t>text</t>
  </si>
  <si>
    <t>Sumif</t>
  </si>
  <si>
    <t>Fact</t>
  </si>
  <si>
    <t>Fucntion</t>
  </si>
  <si>
    <t>sin</t>
  </si>
  <si>
    <t>cos</t>
  </si>
  <si>
    <t>tan</t>
  </si>
  <si>
    <t>Sin Cos Tan</t>
  </si>
  <si>
    <t>Syed Hamid Shah</t>
  </si>
  <si>
    <t>Syed Shabbir Hussain Shah</t>
  </si>
  <si>
    <t>Small</t>
  </si>
  <si>
    <t>Sqrt for Square Root</t>
  </si>
  <si>
    <t>Text</t>
  </si>
  <si>
    <t>Upper</t>
  </si>
  <si>
    <t>Trim</t>
  </si>
  <si>
    <t xml:space="preserve">Mohsin   shah   </t>
  </si>
  <si>
    <t xml:space="preserve">        hamid shah  </t>
  </si>
  <si>
    <t xml:space="preserve">Ahmed khan  </t>
  </si>
  <si>
    <t>Muhammad     shah</t>
  </si>
  <si>
    <t>Hamid Shah</t>
  </si>
  <si>
    <t>I am a teacher.</t>
  </si>
  <si>
    <t>i live in pakistan.</t>
  </si>
  <si>
    <t>Title Case /Proper Case</t>
  </si>
  <si>
    <t>Sentence Case</t>
  </si>
  <si>
    <t>I LIVE IN BALDIA.</t>
  </si>
  <si>
    <t>myName_pakNo1</t>
  </si>
  <si>
    <t>Camel Case</t>
  </si>
  <si>
    <t>Factorial</t>
  </si>
  <si>
    <t>Doctor</t>
  </si>
  <si>
    <t>Fee</t>
  </si>
  <si>
    <t>Model</t>
  </si>
  <si>
    <t>Honda</t>
  </si>
  <si>
    <t>KFC-North Nazimabad</t>
  </si>
  <si>
    <t>Food</t>
  </si>
  <si>
    <t>Tea</t>
  </si>
  <si>
    <t>Burger</t>
  </si>
  <si>
    <t>Barbeque</t>
  </si>
  <si>
    <t>Biryani</t>
  </si>
  <si>
    <t>Kids Rhymes</t>
  </si>
  <si>
    <t>F</t>
  </si>
  <si>
    <t>Mehak</t>
  </si>
  <si>
    <t>Iqra</t>
  </si>
  <si>
    <t>Nabeela</t>
  </si>
  <si>
    <t>Shumaila</t>
  </si>
  <si>
    <t>Shamaila</t>
  </si>
  <si>
    <t>Product</t>
  </si>
  <si>
    <t>Mouse</t>
  </si>
  <si>
    <t>keyboard</t>
  </si>
  <si>
    <t>Monitor</t>
  </si>
  <si>
    <t>Keyboard</t>
  </si>
  <si>
    <t>Osama</t>
  </si>
  <si>
    <t>Summer</t>
  </si>
  <si>
    <t>Nisar</t>
  </si>
  <si>
    <t>q</t>
  </si>
  <si>
    <t>g</t>
  </si>
  <si>
    <t>h</t>
  </si>
  <si>
    <t>j</t>
  </si>
  <si>
    <t>Marks</t>
  </si>
  <si>
    <t>Age%</t>
  </si>
  <si>
    <t>Due Date</t>
  </si>
  <si>
    <t>Meter No</t>
  </si>
  <si>
    <t>Month</t>
  </si>
  <si>
    <t>Pay Date</t>
  </si>
  <si>
    <t>Charges</t>
  </si>
  <si>
    <t>Tax</t>
  </si>
  <si>
    <t>Surcharge</t>
  </si>
  <si>
    <t>Net Bill</t>
  </si>
  <si>
    <t>Current Units</t>
  </si>
  <si>
    <t>Previous Units</t>
  </si>
  <si>
    <t>Total Units</t>
  </si>
  <si>
    <t>August</t>
  </si>
  <si>
    <t>TV</t>
  </si>
  <si>
    <t>Mobile</t>
  </si>
  <si>
    <t>Name of Agent</t>
  </si>
  <si>
    <t>Rate</t>
  </si>
  <si>
    <t>Particular</t>
  </si>
  <si>
    <t>Reciveable</t>
  </si>
  <si>
    <t>Sadia</t>
  </si>
  <si>
    <t>Agent</t>
  </si>
  <si>
    <t>Commission</t>
  </si>
  <si>
    <t>"A"</t>
  </si>
  <si>
    <t>&gt;=</t>
  </si>
  <si>
    <t>Orangi</t>
  </si>
  <si>
    <t>Baldia</t>
  </si>
  <si>
    <t>Landhi</t>
  </si>
  <si>
    <t>Regions</t>
  </si>
  <si>
    <t>LUX Ptivate Limited</t>
  </si>
  <si>
    <t>Word Population</t>
  </si>
  <si>
    <t>China</t>
  </si>
  <si>
    <t>India</t>
  </si>
  <si>
    <t>USA</t>
  </si>
  <si>
    <t>Indonesia</t>
  </si>
  <si>
    <t>Pakistan</t>
  </si>
  <si>
    <t>Brazil</t>
  </si>
  <si>
    <t>CD120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</si>
  <si>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</si>
  <si>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</si>
  <si>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</si>
  <si>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</si>
  <si>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</si>
  <si>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</si>
  <si>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</si>
  <si>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</si>
  <si>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</si>
  <si>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</si>
  <si>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</si>
  <si>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</si>
  <si>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</si>
  <si>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</si>
  <si>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CD135</t>
  </si>
  <si>
    <t>CD136</t>
  </si>
  <si>
    <t>SN</t>
  </si>
  <si>
    <t>Quantity</t>
  </si>
  <si>
    <t>LCD</t>
  </si>
  <si>
    <t>PC</t>
  </si>
  <si>
    <t>USB</t>
  </si>
  <si>
    <t>Monday</t>
  </si>
  <si>
    <t>Tuesday</t>
  </si>
  <si>
    <t>Wednesday</t>
  </si>
  <si>
    <t>Thursday</t>
  </si>
  <si>
    <t>Friday</t>
  </si>
  <si>
    <t>Saturday</t>
  </si>
  <si>
    <t>Sunday</t>
  </si>
  <si>
    <t>Mon</t>
  </si>
  <si>
    <t>Tue</t>
  </si>
  <si>
    <t>Wed</t>
  </si>
  <si>
    <t>Thu</t>
  </si>
  <si>
    <t>Fri</t>
  </si>
  <si>
    <t>Sat</t>
  </si>
  <si>
    <t>Sun</t>
  </si>
  <si>
    <t>January</t>
  </si>
  <si>
    <t>February</t>
  </si>
  <si>
    <t>March</t>
  </si>
  <si>
    <t>April</t>
  </si>
  <si>
    <t>May</t>
  </si>
  <si>
    <t>June</t>
  </si>
  <si>
    <t>July</t>
  </si>
  <si>
    <t>September</t>
  </si>
  <si>
    <t>October</t>
  </si>
  <si>
    <t>November</t>
  </si>
  <si>
    <t>December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</si>
  <si>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</si>
  <si>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</si>
  <si>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</si>
  <si>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</si>
  <si>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</si>
  <si>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</si>
  <si>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</si>
  <si>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</si>
  <si>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</si>
  <si>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</si>
  <si>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</si>
  <si>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;</t>
  </si>
  <si>
    <t>Salesman</t>
  </si>
  <si>
    <t>Javed</t>
  </si>
  <si>
    <t>Naveed</t>
  </si>
  <si>
    <t>Ahmed</t>
  </si>
  <si>
    <t>Sales</t>
  </si>
  <si>
    <t>SUM</t>
  </si>
  <si>
    <t>Budget</t>
  </si>
  <si>
    <t>Publicity</t>
  </si>
  <si>
    <t>Gifts</t>
  </si>
  <si>
    <t>Transportation</t>
  </si>
  <si>
    <t>Products</t>
  </si>
  <si>
    <t>Discount</t>
  </si>
  <si>
    <t>Laptop</t>
  </si>
  <si>
    <t>Printer</t>
  </si>
  <si>
    <t>Paybale</t>
  </si>
  <si>
    <t>ABC Computers</t>
  </si>
  <si>
    <t>THE MASTERS PUBLIC SCHOOL</t>
  </si>
  <si>
    <t>First</t>
  </si>
  <si>
    <t>Second</t>
  </si>
  <si>
    <t>Third</t>
  </si>
  <si>
    <t>Kchi to USA</t>
  </si>
  <si>
    <t>Kchi to UK</t>
  </si>
  <si>
    <t>Kchi To UAE</t>
  </si>
  <si>
    <t>Tickets</t>
  </si>
  <si>
    <t>D.C.</t>
  </si>
  <si>
    <t>Commission
@ 7%</t>
  </si>
  <si>
    <t>Direct
Commission</t>
  </si>
  <si>
    <t>If Logical</t>
  </si>
  <si>
    <t>Bank Salary sheet</t>
  </si>
  <si>
    <t>Godwon</t>
  </si>
  <si>
    <t>LCD Total</t>
  </si>
  <si>
    <t>Mouse Total</t>
  </si>
  <si>
    <t>PC Total</t>
  </si>
  <si>
    <t>Grand Total</t>
  </si>
  <si>
    <t>Table No</t>
  </si>
  <si>
    <t>Time</t>
  </si>
  <si>
    <t>Invoice No</t>
  </si>
  <si>
    <t>Zinger Burger</t>
  </si>
  <si>
    <t>Mayon Burger</t>
  </si>
  <si>
    <t>Cheese Burger</t>
  </si>
  <si>
    <t>Regular Burger</t>
  </si>
  <si>
    <t>Chicken Tikka (Chest)</t>
  </si>
  <si>
    <t>Chicken Tikka (Leg)</t>
  </si>
  <si>
    <t>Boti</t>
  </si>
  <si>
    <t>Malai Boti</t>
  </si>
  <si>
    <t>Chicken Roll</t>
  </si>
  <si>
    <t>Chicken Kabab</t>
  </si>
  <si>
    <t>Roll</t>
  </si>
  <si>
    <t>Paratha</t>
  </si>
  <si>
    <t>Sandwich</t>
  </si>
  <si>
    <t>Cold Drink Regular</t>
  </si>
  <si>
    <t>Cold Drink Litter</t>
  </si>
  <si>
    <t>Cold Drink 1.5 Litter</t>
  </si>
  <si>
    <t>Cold Drink Jumbo</t>
  </si>
  <si>
    <t>Water Small Bottle</t>
  </si>
  <si>
    <t>Water Large Bottle</t>
  </si>
  <si>
    <t>Ref:</t>
  </si>
  <si>
    <t>https://www.youtube.com/watch?v=rgbv9oFaDk0</t>
  </si>
  <si>
    <t>IF(B62&lt;&gt;0,1,"")</t>
  </si>
  <si>
    <t>IF(B63&lt;&gt;0,A62+1,"")</t>
  </si>
  <si>
    <t>For S.#</t>
  </si>
  <si>
    <t>S.#</t>
  </si>
  <si>
    <t>Quetta</t>
  </si>
  <si>
    <t>INVOICE</t>
  </si>
  <si>
    <t>Near Food Point Jinnah Town</t>
  </si>
  <si>
    <t>ALI FOOD CENTER</t>
  </si>
  <si>
    <t>Total Amount</t>
  </si>
  <si>
    <t>Invoice No.</t>
  </si>
  <si>
    <t>https://www.youtube.com/watch?v=mWKxrn457ek</t>
  </si>
  <si>
    <t>Check</t>
  </si>
  <si>
    <t>Ali</t>
  </si>
  <si>
    <t>Israr</t>
  </si>
  <si>
    <t>Hamza</t>
  </si>
  <si>
    <t>Musa</t>
  </si>
  <si>
    <t>Javad</t>
  </si>
  <si>
    <t>Asghar</t>
  </si>
  <si>
    <t>Kareem</t>
  </si>
  <si>
    <t xml:space="preserve">Hasham </t>
  </si>
  <si>
    <t>Saad</t>
  </si>
  <si>
    <t>if(countif(A50:A65,A50:A65,"✖️","✔️"))</t>
  </si>
  <si>
    <t>P</t>
  </si>
  <si>
    <t>L</t>
  </si>
  <si>
    <t>after that select wingdings font</t>
  </si>
  <si>
    <t>https://www.youtube.com/watch?v=U78_CyZlTc0</t>
  </si>
  <si>
    <t>455-1</t>
  </si>
  <si>
    <t>455-2</t>
  </si>
  <si>
    <t>455-3</t>
  </si>
  <si>
    <t>455-4</t>
  </si>
  <si>
    <t>455-5</t>
  </si>
  <si>
    <t>Duplicate</t>
  </si>
  <si>
    <t>K-ELECTRIC BILL</t>
  </si>
  <si>
    <t>Last Date</t>
  </si>
  <si>
    <t>Previous
Units</t>
  </si>
  <si>
    <t>Current
Units</t>
  </si>
  <si>
    <t>Units
Consumed</t>
  </si>
  <si>
    <t>Units
Charges</t>
  </si>
  <si>
    <t>Meter
Rent</t>
  </si>
  <si>
    <t>Payable</t>
  </si>
  <si>
    <t>Absolute</t>
  </si>
  <si>
    <t>Last Data</t>
  </si>
  <si>
    <t>Local
Calls</t>
  </si>
  <si>
    <t>Local
Calls
Charges</t>
  </si>
  <si>
    <t>Mobile
Calls</t>
  </si>
  <si>
    <t>Mobile
Calls
Charges</t>
  </si>
  <si>
    <t>Total
Call
Charges</t>
  </si>
  <si>
    <t>CLI</t>
  </si>
  <si>
    <t>Sales Sheet With IF (SP and CP)</t>
  </si>
  <si>
    <t>Wholesale Rate</t>
  </si>
  <si>
    <t>Total Wholesale</t>
  </si>
  <si>
    <t>Retail Rate</t>
  </si>
  <si>
    <t>Total Retail</t>
  </si>
  <si>
    <t>Loss</t>
  </si>
  <si>
    <t>W.sale Rate</t>
  </si>
  <si>
    <t>Retail rate</t>
  </si>
  <si>
    <t>Nokia</t>
  </si>
  <si>
    <t>Samsung</t>
  </si>
  <si>
    <t>LG</t>
  </si>
  <si>
    <t>Iphone</t>
  </si>
  <si>
    <t>Elegibility for Exam</t>
  </si>
  <si>
    <t>IF(ISBLANK(B62),"",MAX(A61:$A$61)+1)</t>
  </si>
  <si>
    <t>Start Date</t>
  </si>
  <si>
    <t>Date 1</t>
  </si>
  <si>
    <t>Date 2</t>
  </si>
  <si>
    <t>Formula</t>
  </si>
  <si>
    <t>Al-Abid Mills
Bonus &amp; Promotion Sheet</t>
  </si>
  <si>
    <t>Attendance
in Percent</t>
  </si>
  <si>
    <t>Bonus</t>
  </si>
  <si>
    <t>Bonus Status</t>
  </si>
  <si>
    <t>Promotion</t>
  </si>
  <si>
    <t xml:space="preserve"> </t>
  </si>
  <si>
    <t>90 &gt;=</t>
  </si>
  <si>
    <t>equal to salary</t>
  </si>
  <si>
    <t>80&gt;=</t>
  </si>
  <si>
    <t>half of salary</t>
  </si>
  <si>
    <t>salary/2</t>
  </si>
  <si>
    <t>70=&gt;</t>
  </si>
  <si>
    <t>4th of salary</t>
  </si>
  <si>
    <t>salary/4</t>
  </si>
  <si>
    <t>Demotion</t>
  </si>
  <si>
    <t>Incoming
Goods</t>
  </si>
  <si>
    <t>LCD 17</t>
  </si>
  <si>
    <t>LCD 18</t>
  </si>
  <si>
    <t>LCD 19</t>
  </si>
  <si>
    <t>LCD 20</t>
  </si>
  <si>
    <t>LCD 21</t>
  </si>
  <si>
    <t>LCD 22</t>
  </si>
  <si>
    <t>Stock</t>
  </si>
  <si>
    <t>Outgoing
Goods</t>
  </si>
  <si>
    <t>ABC HOSPITAL</t>
  </si>
  <si>
    <t>Name of
Patient</t>
  </si>
  <si>
    <t>Date of
Admission</t>
  </si>
  <si>
    <t>Date of
Discharge</t>
  </si>
  <si>
    <t>Days in
Hospital</t>
  </si>
  <si>
    <t>Ward</t>
  </si>
  <si>
    <t>Dr Name</t>
  </si>
  <si>
    <t>VIP</t>
  </si>
  <si>
    <t>General</t>
  </si>
  <si>
    <t>Dr Ahmed</t>
  </si>
  <si>
    <t>Dr Jamil</t>
  </si>
  <si>
    <t>General/Day</t>
  </si>
  <si>
    <t>Sundary</t>
  </si>
  <si>
    <t>Bibi Sabiha</t>
  </si>
  <si>
    <t>Hikmatullah</t>
  </si>
  <si>
    <t>Muhammad Azan</t>
  </si>
  <si>
    <t>Muhammad Awais</t>
  </si>
  <si>
    <t>Muhammad Zahir</t>
  </si>
  <si>
    <t>Muhammad Zahid</t>
  </si>
  <si>
    <t>Muhammad Hammad</t>
  </si>
  <si>
    <t>Syed Sufiyan</t>
  </si>
  <si>
    <t>SOHAIL AHMED</t>
  </si>
  <si>
    <t>upper</t>
  </si>
  <si>
    <t>rand</t>
  </si>
  <si>
    <t>Bond No</t>
  </si>
  <si>
    <t>Number to Alphbet</t>
  </si>
  <si>
    <t>%age</t>
  </si>
  <si>
    <t>90-…..</t>
  </si>
  <si>
    <t>80-89</t>
  </si>
  <si>
    <t>70-79</t>
  </si>
  <si>
    <t>60-69</t>
  </si>
  <si>
    <t xml:space="preserve">Kabul Jan </t>
  </si>
  <si>
    <t xml:space="preserve">Total </t>
  </si>
  <si>
    <t>Ice cream</t>
  </si>
  <si>
    <t>Cake</t>
  </si>
  <si>
    <t>Pizza</t>
  </si>
  <si>
    <t>Chips</t>
  </si>
  <si>
    <t>Chapati</t>
  </si>
  <si>
    <t>Rice</t>
  </si>
  <si>
    <t>Ahmed Sufiyan</t>
  </si>
  <si>
    <t>Dated</t>
  </si>
  <si>
    <t>Noor Khan</t>
  </si>
  <si>
    <t>Abid</t>
  </si>
  <si>
    <t>Sher Khan</t>
  </si>
  <si>
    <t>Juma Khan</t>
  </si>
  <si>
    <t>Gul Khan</t>
  </si>
  <si>
    <t>Ameen Khan</t>
  </si>
  <si>
    <t>Afiz Khan</t>
  </si>
  <si>
    <t>dsfsd</t>
  </si>
  <si>
    <t xml:space="preserve">    Syed Mohsin Shah  </t>
  </si>
  <si>
    <t>randbetween</t>
  </si>
  <si>
    <t>W.D</t>
  </si>
  <si>
    <t>S#</t>
  </si>
  <si>
    <t>Reg#</t>
  </si>
  <si>
    <t>RG-01</t>
  </si>
  <si>
    <t>RG-02</t>
  </si>
  <si>
    <t>RG-03</t>
  </si>
  <si>
    <t>RG-04</t>
  </si>
  <si>
    <t>RG-05</t>
  </si>
  <si>
    <t>RG-06</t>
  </si>
  <si>
    <t>RG-07</t>
  </si>
  <si>
    <t>RG-08</t>
  </si>
  <si>
    <t>RG-09</t>
  </si>
  <si>
    <t>RG-10</t>
  </si>
  <si>
    <t>Dated:</t>
  </si>
  <si>
    <t>Xlookup</t>
  </si>
  <si>
    <t>IF(C2="A", D2*30%, IF(C2="B", D2*25%, IF(C2="C", D2*20%, D2*15%)))</t>
  </si>
  <si>
    <t>IFS(C2="A",D2*50%,C2="B",D2*40%,C2="C",D2*30%)</t>
  </si>
  <si>
    <t>Work Hourse</t>
  </si>
  <si>
    <t>Jawad</t>
  </si>
  <si>
    <t>Working Hourse</t>
  </si>
  <si>
    <t>IF(B3="A",E3*150,IF(B3="B",E3*100,E3*90))</t>
  </si>
  <si>
    <t>Speaker</t>
  </si>
  <si>
    <t>Sum of Total Keyboard in January</t>
  </si>
  <si>
    <t>COUNTIF(C26:C38,"Mouse")</t>
  </si>
  <si>
    <t>SUMIF(C27:C38,"Keyboard",D27:D38)</t>
  </si>
  <si>
    <t>jamil</t>
  </si>
  <si>
    <t>Computer Shop</t>
  </si>
  <si>
    <t xml:space="preserve">              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</si>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</sst>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"/>
    <numFmt numFmtId="165" formatCode="[$-F800]dddd\,\ mmmm\ dd\,\ yyyy"/>
    <numFmt numFmtId="166" formatCode="_([$PKR]\ * #,##0.00_);_([$PKR]\ * \(#,##0.00\);_([$PKR]\ * &quot;-&quot;??_);_(@_)"/>
    <numFmt numFmtId="167" formatCode="[$PKR]\ #,##0.00"/>
    <numFmt numFmtId="168" formatCode="dd\-mm\-yyyy"/>
    <numFmt numFmtId="169" formatCode="_([$PKR]\ * #,##0_);_([$PKR]\ * \(#,##0\);_([$PKR]\ * &quot;-&quot;_);_(@_)"/>
    <numFmt numFmtId="170" formatCode="0\ &quot;KG&quot;"/>
    <numFmt numFmtId="171" formatCode="&quot;Rs&quot;\ 0"/>
    <numFmt numFmtId="172" formatCode="[$-409]d\-mmm\-yy;@"/>
    <numFmt numFmtId="173" formatCode="[$-409]dd\-mmm\-yy;@"/>
    <numFmt numFmtId="174" formatCode="[$-409]d\-mmm\-yyyy;@"/>
    <numFmt numFmtId="175" formatCode="ddd"/>
    <numFmt numFmtId="176" formatCode="dd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72"/>
      <color theme="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i/>
      <u val="double"/>
      <sz val="24"/>
      <color rgb="FF00B050"/>
      <name val="Algerian"/>
      <family val="5"/>
    </font>
    <font>
      <sz val="3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FFFF00"/>
      <name val="Arial"/>
      <family val="2"/>
    </font>
    <font>
      <b/>
      <sz val="18"/>
      <color theme="1"/>
      <name val="Calibri"/>
      <family val="2"/>
      <scheme val="minor"/>
    </font>
    <font>
      <sz val="16"/>
      <color theme="1"/>
      <name val="Wingdings"/>
      <charset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12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0" fillId="19" borderId="0" xfId="0" applyFill="1"/>
    <xf numFmtId="0" fontId="11" fillId="21" borderId="1" xfId="0" applyFont="1" applyFill="1" applyBorder="1" applyAlignment="1">
      <alignment horizontal="center"/>
    </xf>
    <xf numFmtId="166" fontId="0" fillId="0" borderId="1" xfId="0" applyNumberFormat="1" applyBorder="1"/>
    <xf numFmtId="0" fontId="0" fillId="19" borderId="1" xfId="0" applyFill="1" applyBorder="1" applyAlignment="1">
      <alignment horizontal="center" vertical="center"/>
    </xf>
    <xf numFmtId="0" fontId="0" fillId="19" borderId="1" xfId="0" applyFill="1" applyBorder="1"/>
    <xf numFmtId="0" fontId="0" fillId="4" borderId="1" xfId="0" applyFill="1" applyBorder="1" applyAlignment="1">
      <alignment horizontal="center" vertical="center"/>
    </xf>
    <xf numFmtId="0" fontId="0" fillId="6" borderId="0" xfId="0" applyFill="1"/>
    <xf numFmtId="0" fontId="0" fillId="6" borderId="1" xfId="0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wrapText="1"/>
    </xf>
    <xf numFmtId="0" fontId="0" fillId="22" borderId="0" xfId="0" applyFill="1"/>
    <xf numFmtId="0" fontId="0" fillId="0" borderId="0" xfId="0" applyAlignment="1">
      <alignment horizontal="center" vertical="center"/>
    </xf>
    <xf numFmtId="0" fontId="3" fillId="5" borderId="0" xfId="0" applyFont="1" applyFill="1"/>
    <xf numFmtId="0" fontId="0" fillId="19" borderId="0" xfId="0" applyFill="1" applyAlignment="1">
      <alignment horizontal="center" vertical="center"/>
    </xf>
    <xf numFmtId="0" fontId="0" fillId="0" borderId="1" xfId="0" applyBorder="1"/>
    <xf numFmtId="0" fontId="0" fillId="19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11" borderId="1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164" fontId="0" fillId="0" borderId="12" xfId="0" applyNumberFormat="1" applyBorder="1" applyAlignment="1">
      <alignment horizontal="left" vertical="center"/>
    </xf>
    <xf numFmtId="14" fontId="0" fillId="0" borderId="0" xfId="0" applyNumberFormat="1"/>
    <xf numFmtId="14" fontId="0" fillId="0" borderId="1" xfId="0" applyNumberForma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164" fontId="0" fillId="27" borderId="1" xfId="0" applyNumberForma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28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8" fontId="0" fillId="0" borderId="0" xfId="0" applyNumberFormat="1"/>
    <xf numFmtId="169" fontId="0" fillId="0" borderId="1" xfId="0" applyNumberFormat="1" applyBorder="1" applyAlignment="1">
      <alignment horizontal="center" vertical="center"/>
    </xf>
    <xf numFmtId="169" fontId="0" fillId="9" borderId="1" xfId="0" applyNumberFormat="1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/>
    <xf numFmtId="0" fontId="0" fillId="4" borderId="0" xfId="0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4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17" fillId="0" borderId="0" xfId="1"/>
    <xf numFmtId="0" fontId="1" fillId="0" borderId="0" xfId="0" applyFont="1"/>
    <xf numFmtId="0" fontId="0" fillId="5" borderId="0" xfId="0" applyFill="1"/>
    <xf numFmtId="22" fontId="0" fillId="0" borderId="0" xfId="0" applyNumberFormat="1"/>
    <xf numFmtId="0" fontId="0" fillId="20" borderId="0" xfId="0" applyFill="1"/>
    <xf numFmtId="0" fontId="0" fillId="0" borderId="4" xfId="0" applyBorder="1" applyAlignment="1">
      <alignment horizontal="center" vertical="center"/>
    </xf>
    <xf numFmtId="0" fontId="18" fillId="29" borderId="14" xfId="0" applyFont="1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9" fontId="0" fillId="11" borderId="7" xfId="0" applyNumberFormat="1" applyFill="1" applyBorder="1" applyAlignment="1">
      <alignment horizontal="center" vertical="center"/>
    </xf>
    <xf numFmtId="169" fontId="0" fillId="11" borderId="15" xfId="0" applyNumberFormat="1" applyFill="1" applyBorder="1" applyAlignment="1">
      <alignment horizontal="center" vertical="center"/>
    </xf>
    <xf numFmtId="0" fontId="0" fillId="0" borderId="6" xfId="0" applyBorder="1"/>
    <xf numFmtId="0" fontId="0" fillId="0" borderId="19" xfId="0" applyBorder="1"/>
    <xf numFmtId="0" fontId="0" fillId="0" borderId="5" xfId="0" applyBorder="1"/>
    <xf numFmtId="0" fontId="0" fillId="0" borderId="14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170" fontId="0" fillId="0" borderId="0" xfId="0" applyNumberFormat="1"/>
    <xf numFmtId="17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24" fillId="0" borderId="0" xfId="0" applyFont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15" fontId="0" fillId="0" borderId="0" xfId="0" applyNumberFormat="1"/>
    <xf numFmtId="169" fontId="0" fillId="0" borderId="0" xfId="0" applyNumberFormat="1"/>
    <xf numFmtId="172" fontId="0" fillId="0" borderId="0" xfId="0" applyNumberFormat="1"/>
    <xf numFmtId="172" fontId="26" fillId="0" borderId="0" xfId="0" applyNumberFormat="1" applyFont="1" applyAlignment="1">
      <alignment horizontal="center" vertical="center"/>
    </xf>
    <xf numFmtId="169" fontId="26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69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8" fontId="0" fillId="0" borderId="4" xfId="0" applyNumberFormat="1" applyBorder="1" applyAlignment="1">
      <alignment horizontal="center" vertical="center"/>
    </xf>
    <xf numFmtId="0" fontId="5" fillId="31" borderId="0" xfId="0" applyFont="1" applyFill="1" applyAlignment="1">
      <alignment horizontal="center" vertical="center"/>
    </xf>
    <xf numFmtId="0" fontId="5" fillId="31" borderId="7" xfId="0" applyFont="1" applyFill="1" applyBorder="1" applyAlignment="1">
      <alignment horizontal="left" vertical="center"/>
    </xf>
    <xf numFmtId="0" fontId="5" fillId="31" borderId="7" xfId="0" applyFont="1" applyFill="1" applyBorder="1" applyAlignment="1">
      <alignment horizontal="center" vertical="center"/>
    </xf>
    <xf numFmtId="0" fontId="27" fillId="0" borderId="0" xfId="0" applyFont="1"/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9" fillId="32" borderId="1" xfId="0" applyFont="1" applyFill="1" applyBorder="1" applyAlignment="1">
      <alignment horizontal="center" vertical="center"/>
    </xf>
    <xf numFmtId="0" fontId="9" fillId="32" borderId="1" xfId="0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169" fontId="0" fillId="34" borderId="1" xfId="0" applyNumberFormat="1" applyFill="1" applyBorder="1" applyAlignment="1">
      <alignment horizontal="center" vertical="center"/>
    </xf>
    <xf numFmtId="169" fontId="0" fillId="15" borderId="1" xfId="0" applyNumberFormat="1" applyFill="1" applyBorder="1" applyAlignment="1">
      <alignment horizontal="center" vertical="center"/>
    </xf>
    <xf numFmtId="166" fontId="0" fillId="34" borderId="1" xfId="0" applyNumberFormat="1" applyFill="1" applyBorder="1" applyAlignment="1">
      <alignment horizontal="center" vertical="center"/>
    </xf>
    <xf numFmtId="0" fontId="0" fillId="34" borderId="1" xfId="0" applyFill="1" applyBorder="1" applyAlignment="1">
      <alignment horizontal="center"/>
    </xf>
    <xf numFmtId="0" fontId="0" fillId="15" borderId="5" xfId="0" applyFill="1" applyBorder="1"/>
    <xf numFmtId="168" fontId="0" fillId="15" borderId="5" xfId="0" applyNumberFormat="1" applyFill="1" applyBorder="1"/>
    <xf numFmtId="0" fontId="0" fillId="13" borderId="1" xfId="0" applyFill="1" applyBorder="1" applyAlignment="1">
      <alignment horizontal="center"/>
    </xf>
    <xf numFmtId="0" fontId="9" fillId="32" borderId="7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17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9" fontId="0" fillId="9" borderId="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9" fontId="0" fillId="0" borderId="14" xfId="0" applyNumberFormat="1" applyBorder="1" applyAlignment="1">
      <alignment horizontal="center" vertical="center"/>
    </xf>
    <xf numFmtId="169" fontId="0" fillId="9" borderId="14" xfId="0" applyNumberFormat="1" applyFill="1" applyBorder="1" applyAlignment="1">
      <alignment horizontal="center" vertical="center"/>
    </xf>
    <xf numFmtId="169" fontId="0" fillId="9" borderId="17" xfId="0" applyNumberFormat="1" applyFill="1" applyBorder="1" applyAlignment="1">
      <alignment horizontal="center" vertical="center"/>
    </xf>
    <xf numFmtId="0" fontId="12" fillId="11" borderId="20" xfId="0" applyFont="1" applyFill="1" applyBorder="1" applyAlignment="1">
      <alignment horizontal="center" vertical="center"/>
    </xf>
    <xf numFmtId="0" fontId="12" fillId="11" borderId="15" xfId="0" applyFont="1" applyFill="1" applyBorder="1" applyAlignment="1">
      <alignment horizontal="center" vertical="center"/>
    </xf>
    <xf numFmtId="0" fontId="12" fillId="11" borderId="1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13" borderId="1" xfId="0" applyFill="1" applyBorder="1" applyAlignment="1">
      <alignment horizontal="center" vertical="center"/>
    </xf>
    <xf numFmtId="22" fontId="0" fillId="23" borderId="1" xfId="0" applyNumberFormat="1" applyFill="1" applyBorder="1" applyAlignment="1">
      <alignment vertical="center"/>
    </xf>
    <xf numFmtId="0" fontId="25" fillId="5" borderId="1" xfId="0" applyFont="1" applyFill="1" applyBorder="1" applyAlignment="1">
      <alignment horizontal="center"/>
    </xf>
    <xf numFmtId="164" fontId="29" fillId="0" borderId="0" xfId="0" applyNumberFormat="1" applyFont="1"/>
    <xf numFmtId="1" fontId="31" fillId="0" borderId="1" xfId="0" applyNumberFormat="1" applyFont="1" applyBorder="1"/>
    <xf numFmtId="0" fontId="1" fillId="7" borderId="3" xfId="0" applyFont="1" applyFill="1" applyBorder="1" applyAlignment="1">
      <alignment horizontal="center" vertical="center"/>
    </xf>
    <xf numFmtId="0" fontId="6" fillId="11" borderId="1" xfId="0" applyFont="1" applyFill="1" applyBorder="1"/>
    <xf numFmtId="0" fontId="0" fillId="29" borderId="3" xfId="0" applyFill="1" applyBorder="1" applyAlignment="1">
      <alignment horizontal="center"/>
    </xf>
    <xf numFmtId="0" fontId="6" fillId="11" borderId="3" xfId="0" applyFont="1" applyFill="1" applyBorder="1"/>
    <xf numFmtId="0" fontId="31" fillId="5" borderId="1" xfId="0" applyFont="1" applyFill="1" applyBorder="1" applyAlignment="1">
      <alignment horizontal="center" vertical="center"/>
    </xf>
    <xf numFmtId="0" fontId="0" fillId="28" borderId="1" xfId="0" applyFill="1" applyBorder="1"/>
    <xf numFmtId="0" fontId="19" fillId="4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15" fontId="5" fillId="35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1" fillId="0" borderId="0" xfId="0" applyFont="1"/>
    <xf numFmtId="0" fontId="29" fillId="0" borderId="0" xfId="0" applyFont="1"/>
    <xf numFmtId="0" fontId="0" fillId="36" borderId="1" xfId="0" applyFill="1" applyBorder="1" applyAlignment="1">
      <alignment horizontal="center"/>
    </xf>
    <xf numFmtId="0" fontId="0" fillId="36" borderId="14" xfId="0" applyFill="1" applyBorder="1" applyAlignment="1">
      <alignment horizontal="center"/>
    </xf>
    <xf numFmtId="0" fontId="0" fillId="36" borderId="0" xfId="0" applyFill="1" applyAlignment="1">
      <alignment horizontal="center"/>
    </xf>
    <xf numFmtId="0" fontId="9" fillId="32" borderId="1" xfId="0" applyFont="1" applyFill="1" applyBorder="1" applyAlignment="1">
      <alignment horizontal="left" vertical="center"/>
    </xf>
    <xf numFmtId="0" fontId="5" fillId="35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8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175" fontId="9" fillId="32" borderId="1" xfId="0" applyNumberFormat="1" applyFont="1" applyFill="1" applyBorder="1" applyAlignment="1">
      <alignment horizontal="center" vertical="center"/>
    </xf>
    <xf numFmtId="176" fontId="9" fillId="32" borderId="1" xfId="0" applyNumberFormat="1" applyFont="1" applyFill="1" applyBorder="1" applyAlignment="1">
      <alignment horizontal="center" vertical="center"/>
    </xf>
    <xf numFmtId="0" fontId="35" fillId="0" borderId="0" xfId="0" applyFont="1"/>
    <xf numFmtId="0" fontId="34" fillId="0" borderId="1" xfId="0" applyFont="1" applyBorder="1" applyAlignment="1">
      <alignment horizontal="center" vertical="center"/>
    </xf>
    <xf numFmtId="167" fontId="27" fillId="0" borderId="1" xfId="0" applyNumberFormat="1" applyFont="1" applyBorder="1" applyAlignment="1">
      <alignment horizontal="center" vertical="center"/>
    </xf>
    <xf numFmtId="167" fontId="31" fillId="0" borderId="1" xfId="0" applyNumberFormat="1" applyFont="1" applyBorder="1" applyAlignment="1">
      <alignment horizontal="center" vertical="center"/>
    </xf>
    <xf numFmtId="167" fontId="31" fillId="12" borderId="1" xfId="0" applyNumberFormat="1" applyFont="1" applyFill="1" applyBorder="1" applyAlignment="1">
      <alignment horizontal="center" vertical="center"/>
    </xf>
    <xf numFmtId="167" fontId="29" fillId="0" borderId="1" xfId="0" applyNumberFormat="1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37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1" fillId="0" borderId="1" xfId="0" applyFont="1" applyBorder="1"/>
    <xf numFmtId="169" fontId="31" fillId="34" borderId="1" xfId="0" applyNumberFormat="1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 textRotation="45"/>
    </xf>
    <xf numFmtId="0" fontId="1" fillId="20" borderId="1" xfId="0" applyFont="1" applyFill="1" applyBorder="1" applyAlignment="1">
      <alignment horizontal="center" vertical="center" textRotation="45" wrapText="1"/>
    </xf>
    <xf numFmtId="0" fontId="0" fillId="25" borderId="1" xfId="0" applyFill="1" applyBorder="1"/>
    <xf numFmtId="167" fontId="0" fillId="2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5" fillId="4" borderId="17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169" fontId="23" fillId="5" borderId="6" xfId="0" applyNumberFormat="1" applyFont="1" applyFill="1" applyBorder="1" applyAlignment="1">
      <alignment horizontal="center" vertical="center"/>
    </xf>
    <xf numFmtId="169" fontId="23" fillId="5" borderId="0" xfId="0" applyNumberFormat="1" applyFont="1" applyFill="1" applyAlignment="1">
      <alignment horizontal="center" vertical="center"/>
    </xf>
    <xf numFmtId="169" fontId="23" fillId="5" borderId="4" xfId="0" applyNumberFormat="1" applyFont="1" applyFill="1" applyBorder="1" applyAlignment="1">
      <alignment horizontal="center" vertical="center"/>
    </xf>
    <xf numFmtId="0" fontId="0" fillId="20" borderId="0" xfId="0" applyFill="1" applyAlignment="1">
      <alignment horizontal="center"/>
    </xf>
    <xf numFmtId="0" fontId="20" fillId="27" borderId="17" xfId="0" applyFont="1" applyFill="1" applyBorder="1" applyAlignment="1">
      <alignment horizontal="left" vertical="center" indent="13"/>
    </xf>
    <xf numFmtId="0" fontId="20" fillId="27" borderId="16" xfId="0" applyFont="1" applyFill="1" applyBorder="1" applyAlignment="1">
      <alignment horizontal="left" vertical="center" indent="13"/>
    </xf>
    <xf numFmtId="0" fontId="20" fillId="27" borderId="18" xfId="0" applyFont="1" applyFill="1" applyBorder="1" applyAlignment="1">
      <alignment horizontal="left" vertical="center" indent="13"/>
    </xf>
    <xf numFmtId="0" fontId="22" fillId="27" borderId="6" xfId="0" applyFont="1" applyFill="1" applyBorder="1" applyAlignment="1">
      <alignment horizontal="left" vertical="center" indent="13"/>
    </xf>
    <xf numFmtId="0" fontId="22" fillId="27" borderId="0" xfId="0" applyFont="1" applyFill="1" applyAlignment="1">
      <alignment horizontal="left" vertical="center" indent="13"/>
    </xf>
    <xf numFmtId="0" fontId="22" fillId="27" borderId="4" xfId="0" applyFont="1" applyFill="1" applyBorder="1" applyAlignment="1">
      <alignment horizontal="left" vertical="center" indent="13"/>
    </xf>
    <xf numFmtId="0" fontId="21" fillId="27" borderId="6" xfId="0" applyFont="1" applyFill="1" applyBorder="1" applyAlignment="1">
      <alignment horizontal="left" vertical="center" indent="13"/>
    </xf>
    <xf numFmtId="0" fontId="21" fillId="27" borderId="0" xfId="0" applyFont="1" applyFill="1" applyAlignment="1">
      <alignment horizontal="left" vertical="center" indent="13"/>
    </xf>
    <xf numFmtId="0" fontId="21" fillId="27" borderId="4" xfId="0" applyFont="1" applyFill="1" applyBorder="1" applyAlignment="1">
      <alignment horizontal="left" vertical="center" indent="13"/>
    </xf>
    <xf numFmtId="0" fontId="19" fillId="30" borderId="1" xfId="0" applyFont="1" applyFill="1" applyBorder="1"/>
    <xf numFmtId="0" fontId="0" fillId="3" borderId="1" xfId="0" applyFill="1" applyBorder="1" applyAlignment="1">
      <alignment horizontal="center"/>
    </xf>
    <xf numFmtId="0" fontId="16" fillId="10" borderId="17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18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6" fillId="10" borderId="19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20" xfId="0" applyFont="1" applyFill="1" applyBorder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9" borderId="2" xfId="0" applyFill="1" applyBorder="1" applyAlignment="1">
      <alignment horizontal="center"/>
    </xf>
    <xf numFmtId="0" fontId="0" fillId="29" borderId="3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/>
    </xf>
    <xf numFmtId="0" fontId="27" fillId="25" borderId="2" xfId="0" applyFont="1" applyFill="1" applyBorder="1" applyAlignment="1">
      <alignment horizontal="center"/>
    </xf>
    <xf numFmtId="0" fontId="27" fillId="25" borderId="3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166" fontId="0" fillId="6" borderId="2" xfId="0" applyNumberFormat="1" applyFill="1" applyBorder="1" applyAlignment="1">
      <alignment vertical="center"/>
    </xf>
    <xf numFmtId="166" fontId="0" fillId="6" borderId="3" xfId="0" applyNumberFormat="1" applyFill="1" applyBorder="1" applyAlignment="1">
      <alignment vertical="center"/>
    </xf>
    <xf numFmtId="0" fontId="0" fillId="37" borderId="2" xfId="0" applyFill="1" applyBorder="1" applyAlignment="1">
      <alignment horizontal="center"/>
    </xf>
    <xf numFmtId="0" fontId="0" fillId="37" borderId="21" xfId="0" applyFill="1" applyBorder="1" applyAlignment="1">
      <alignment horizontal="center"/>
    </xf>
    <xf numFmtId="0" fontId="0" fillId="37" borderId="3" xfId="0" applyFill="1" applyBorder="1" applyAlignment="1">
      <alignment horizontal="center"/>
    </xf>
    <xf numFmtId="167" fontId="27" fillId="25" borderId="2" xfId="0" applyNumberFormat="1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7" fillId="26" borderId="5" xfId="0" applyFont="1" applyFill="1" applyBorder="1" applyAlignment="1">
      <alignment horizontal="center"/>
    </xf>
    <xf numFmtId="0" fontId="8" fillId="27" borderId="14" xfId="0" applyFont="1" applyFill="1" applyBorder="1" applyAlignment="1">
      <alignment horizontal="center" vertical="center"/>
    </xf>
    <xf numFmtId="0" fontId="8" fillId="27" borderId="7" xfId="0" applyFont="1" applyFill="1" applyBorder="1" applyAlignment="1">
      <alignment horizontal="center" vertical="center"/>
    </xf>
    <xf numFmtId="0" fontId="8" fillId="27" borderId="15" xfId="0" applyFont="1" applyFill="1" applyBorder="1" applyAlignment="1">
      <alignment horizontal="center" vertical="center"/>
    </xf>
    <xf numFmtId="0" fontId="6" fillId="19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0" fillId="15" borderId="14" xfId="0" applyFont="1" applyFill="1" applyBorder="1" applyAlignment="1">
      <alignment horizontal="center" vertical="center" textRotation="255"/>
    </xf>
    <xf numFmtId="0" fontId="30" fillId="15" borderId="7" xfId="0" applyFont="1" applyFill="1" applyBorder="1" applyAlignment="1">
      <alignment horizontal="center" vertical="center" textRotation="255"/>
    </xf>
    <xf numFmtId="0" fontId="30" fillId="15" borderId="15" xfId="0" applyFont="1" applyFill="1" applyBorder="1" applyAlignment="1">
      <alignment horizontal="center" vertical="center" textRotation="255"/>
    </xf>
    <xf numFmtId="0" fontId="0" fillId="17" borderId="0" xfId="0" applyFill="1" applyAlignment="1">
      <alignment horizontal="center"/>
    </xf>
    <xf numFmtId="166" fontId="0" fillId="19" borderId="2" xfId="0" applyNumberFormat="1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10" fillId="19" borderId="6" xfId="0" applyFont="1" applyFill="1" applyBorder="1" applyAlignment="1">
      <alignment horizontal="center"/>
    </xf>
    <xf numFmtId="0" fontId="10" fillId="19" borderId="0" xfId="0" applyFont="1" applyFill="1" applyAlignment="1">
      <alignment horizontal="center"/>
    </xf>
    <xf numFmtId="0" fontId="0" fillId="15" borderId="5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28" fillId="33" borderId="1" xfId="0" applyFont="1" applyFill="1" applyBorder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6" xfId="0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0" fontId="29" fillId="24" borderId="6" xfId="0" applyFont="1" applyFill="1" applyBorder="1" applyAlignment="1">
      <alignment horizontal="center" vertical="center"/>
    </xf>
    <xf numFmtId="0" fontId="29" fillId="24" borderId="0" xfId="0" applyFont="1" applyFill="1" applyAlignment="1">
      <alignment horizontal="center" vertical="center"/>
    </xf>
    <xf numFmtId="0" fontId="29" fillId="24" borderId="4" xfId="0" applyFont="1" applyFill="1" applyBorder="1" applyAlignment="1">
      <alignment horizontal="center" vertical="center"/>
    </xf>
    <xf numFmtId="0" fontId="29" fillId="24" borderId="19" xfId="0" applyFont="1" applyFill="1" applyBorder="1" applyAlignment="1">
      <alignment horizontal="center" vertical="center"/>
    </xf>
    <xf numFmtId="0" fontId="29" fillId="24" borderId="5" xfId="0" applyFont="1" applyFill="1" applyBorder="1" applyAlignment="1">
      <alignment horizontal="center" vertical="center"/>
    </xf>
    <xf numFmtId="0" fontId="29" fillId="24" borderId="2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9" fillId="10" borderId="16" xfId="0" applyFont="1" applyFill="1" applyBorder="1" applyAlignment="1">
      <alignment horizontal="center" vertical="center"/>
    </xf>
    <xf numFmtId="0" fontId="29" fillId="10" borderId="18" xfId="0" applyFont="1" applyFill="1" applyBorder="1" applyAlignment="1">
      <alignment horizontal="center" vertical="center"/>
    </xf>
    <xf numFmtId="0" fontId="29" fillId="10" borderId="0" xfId="0" applyFont="1" applyFill="1" applyAlignment="1">
      <alignment horizontal="center" vertical="center"/>
    </xf>
    <xf numFmtId="0" fontId="29" fillId="10" borderId="4" xfId="0" applyFont="1" applyFill="1" applyBorder="1" applyAlignment="1">
      <alignment horizontal="center" vertical="center"/>
    </xf>
    <xf numFmtId="0" fontId="29" fillId="10" borderId="5" xfId="0" applyFont="1" applyFill="1" applyBorder="1" applyAlignment="1">
      <alignment horizontal="center" vertical="center"/>
    </xf>
    <xf numFmtId="0" fontId="29" fillId="10" borderId="20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left" vertical="center"/>
    </xf>
    <xf numFmtId="0" fontId="19" fillId="25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5">
    <dxf>
      <font>
        <color rgb="FF0066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60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FFC000"/>
      </font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60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FFC000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169" formatCode="_([$PKR]\ * #,##0_);_([$PKR]\ * \(#,##0\);_([$PKR]\ * &quot;-&quot;_);_(@_)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9" formatCode="_([$PKR]\ * #,##0_);_([$PKR]\ * \(#,##0\);_([$PKR]\ * &quot;-&quot;_);_(@_)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9" formatCode="_([$PKR]\ * #,##0_);_([$PKR]\ * \(#,##0\);_([$PKR]\ * &quot;-&quot;_);_(@_)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9" formatCode="_([$PKR]\ * #,##0_);_([$PKR]\ * \(#,##0\);_([$PKR]\ * &quot;-&quot;_);_(@_)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_([$PKR]\ * #,##0_);_([$PKR]\ * \(#,##0\);_([$PKR]\ * &quot;-&quot;_);_(@_)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9" formatCode="_([$PKR]\ * #,##0_);_([$PKR]\ * \(#,##0\);_([$PKR]\ * &quot;-&quot;_);_(@_)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9" formatCode="_([$PKR]\ * #,##0_);_([$PKR]\ * \(#,##0\);_([$PKR]\ * &quot;-&quot;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9" formatCode="_([$PKR]\ * #,##0_);_([$PKR]\ * \(#,##0\);_([$PKR]\ * &quot;-&quot;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Word 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Population!$B$3:$B$8</c:f>
              <c:strCache>
                <c:ptCount val="6"/>
                <c:pt idx="0">
                  <c:v>China</c:v>
                </c:pt>
                <c:pt idx="1">
                  <c:v>India</c:v>
                </c:pt>
                <c:pt idx="2">
                  <c:v>USA</c:v>
                </c:pt>
                <c:pt idx="3">
                  <c:v>Indonesia</c:v>
                </c:pt>
                <c:pt idx="4">
                  <c:v>Pakistan</c:v>
                </c:pt>
                <c:pt idx="5">
                  <c:v>Brazil</c:v>
                </c:pt>
              </c:strCache>
            </c:strRef>
          </c:cat>
          <c:val>
            <c:numRef>
              <c:f>Population!$C$3:$C$8</c:f>
              <c:numCache>
                <c:formatCode>#,##0</c:formatCode>
                <c:ptCount val="6"/>
                <c:pt idx="0">
                  <c:v>1439323776</c:v>
                </c:pt>
                <c:pt idx="1">
                  <c:v>1380004385</c:v>
                </c:pt>
                <c:pt idx="2">
                  <c:v>331002651</c:v>
                </c:pt>
                <c:pt idx="3">
                  <c:v>273523615</c:v>
                </c:pt>
                <c:pt idx="4">
                  <c:v>220892340</c:v>
                </c:pt>
                <c:pt idx="5">
                  <c:v>212559417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6-4474-BE5C-A1BB27114D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Population!$D$26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Population!$C$27:$C$38</c:f>
              <c:strCache>
                <c:ptCount val="12"/>
                <c:pt idx="0">
                  <c:v>Keyboard</c:v>
                </c:pt>
                <c:pt idx="1">
                  <c:v>Mouse</c:v>
                </c:pt>
                <c:pt idx="2">
                  <c:v>Speaker</c:v>
                </c:pt>
                <c:pt idx="3">
                  <c:v>Keyboard</c:v>
                </c:pt>
                <c:pt idx="4">
                  <c:v>Mouse</c:v>
                </c:pt>
                <c:pt idx="5">
                  <c:v>Speaker</c:v>
                </c:pt>
                <c:pt idx="6">
                  <c:v>Keyboard</c:v>
                </c:pt>
                <c:pt idx="7">
                  <c:v>Mouse</c:v>
                </c:pt>
                <c:pt idx="8">
                  <c:v>Speaker</c:v>
                </c:pt>
                <c:pt idx="9">
                  <c:v>Keyboard</c:v>
                </c:pt>
                <c:pt idx="10">
                  <c:v>Mouse</c:v>
                </c:pt>
                <c:pt idx="11">
                  <c:v>Speaker</c:v>
                </c:pt>
              </c:strCache>
            </c:strRef>
          </c:cat>
          <c:val>
            <c:numRef>
              <c:f>Population!$D$27:$D$38</c:f>
              <c:numCache>
                <c:formatCode>General</c:formatCode>
                <c:ptCount val="12"/>
                <c:pt idx="0">
                  <c:v>200</c:v>
                </c:pt>
                <c:pt idx="1">
                  <c:v>55</c:v>
                </c:pt>
                <c:pt idx="2">
                  <c:v>66</c:v>
                </c:pt>
                <c:pt idx="3">
                  <c:v>500</c:v>
                </c:pt>
                <c:pt idx="4">
                  <c:v>55</c:v>
                </c:pt>
                <c:pt idx="5">
                  <c:v>66</c:v>
                </c:pt>
                <c:pt idx="6">
                  <c:v>33</c:v>
                </c:pt>
                <c:pt idx="7">
                  <c:v>55</c:v>
                </c:pt>
                <c:pt idx="8">
                  <c:v>66</c:v>
                </c:pt>
                <c:pt idx="9">
                  <c:v>33</c:v>
                </c:pt>
                <c:pt idx="10">
                  <c:v>55</c:v>
                </c:pt>
                <c:pt idx="1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4-41F3-831A-89A3830D1C2D}"/>
            </c:ext>
          </c:extLst>
        </c:ser>
        <c:ser>
          <c:idx val="1"/>
          <c:order val="1"/>
          <c:tx>
            <c:strRef>
              <c:f>Population!$E$26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Population!$C$27:$C$38</c:f>
              <c:strCache>
                <c:ptCount val="12"/>
                <c:pt idx="0">
                  <c:v>Keyboard</c:v>
                </c:pt>
                <c:pt idx="1">
                  <c:v>Mouse</c:v>
                </c:pt>
                <c:pt idx="2">
                  <c:v>Speaker</c:v>
                </c:pt>
                <c:pt idx="3">
                  <c:v>Keyboard</c:v>
                </c:pt>
                <c:pt idx="4">
                  <c:v>Mouse</c:v>
                </c:pt>
                <c:pt idx="5">
                  <c:v>Speaker</c:v>
                </c:pt>
                <c:pt idx="6">
                  <c:v>Keyboard</c:v>
                </c:pt>
                <c:pt idx="7">
                  <c:v>Mouse</c:v>
                </c:pt>
                <c:pt idx="8">
                  <c:v>Speaker</c:v>
                </c:pt>
                <c:pt idx="9">
                  <c:v>Keyboard</c:v>
                </c:pt>
                <c:pt idx="10">
                  <c:v>Mouse</c:v>
                </c:pt>
                <c:pt idx="11">
                  <c:v>Speaker</c:v>
                </c:pt>
              </c:strCache>
            </c:strRef>
          </c:cat>
          <c:val>
            <c:numRef>
              <c:f>Population!$E$27:$E$38</c:f>
              <c:numCache>
                <c:formatCode>General</c:formatCode>
                <c:ptCount val="12"/>
                <c:pt idx="0">
                  <c:v>11</c:v>
                </c:pt>
                <c:pt idx="1">
                  <c:v>22</c:v>
                </c:pt>
                <c:pt idx="2">
                  <c:v>33</c:v>
                </c:pt>
                <c:pt idx="3">
                  <c:v>11</c:v>
                </c:pt>
                <c:pt idx="4">
                  <c:v>22</c:v>
                </c:pt>
                <c:pt idx="5">
                  <c:v>33</c:v>
                </c:pt>
                <c:pt idx="6">
                  <c:v>11</c:v>
                </c:pt>
                <c:pt idx="7">
                  <c:v>22</c:v>
                </c:pt>
                <c:pt idx="8">
                  <c:v>33</c:v>
                </c:pt>
                <c:pt idx="9">
                  <c:v>11</c:v>
                </c:pt>
                <c:pt idx="10">
                  <c:v>22</c:v>
                </c:pt>
                <c:pt idx="1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4-41F3-831A-89A3830D1C2D}"/>
            </c:ext>
          </c:extLst>
        </c:ser>
        <c:ser>
          <c:idx val="2"/>
          <c:order val="2"/>
          <c:tx>
            <c:strRef>
              <c:f>Population!$F$26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Population!$C$27:$C$38</c:f>
              <c:strCache>
                <c:ptCount val="12"/>
                <c:pt idx="0">
                  <c:v>Keyboard</c:v>
                </c:pt>
                <c:pt idx="1">
                  <c:v>Mouse</c:v>
                </c:pt>
                <c:pt idx="2">
                  <c:v>Speaker</c:v>
                </c:pt>
                <c:pt idx="3">
                  <c:v>Keyboard</c:v>
                </c:pt>
                <c:pt idx="4">
                  <c:v>Mouse</c:v>
                </c:pt>
                <c:pt idx="5">
                  <c:v>Speaker</c:v>
                </c:pt>
                <c:pt idx="6">
                  <c:v>Keyboard</c:v>
                </c:pt>
                <c:pt idx="7">
                  <c:v>Mouse</c:v>
                </c:pt>
                <c:pt idx="8">
                  <c:v>Speaker</c:v>
                </c:pt>
                <c:pt idx="9">
                  <c:v>Keyboard</c:v>
                </c:pt>
                <c:pt idx="10">
                  <c:v>Mouse</c:v>
                </c:pt>
                <c:pt idx="11">
                  <c:v>Speaker</c:v>
                </c:pt>
              </c:strCache>
            </c:strRef>
          </c:cat>
          <c:val>
            <c:numRef>
              <c:f>Population!$F$27:$F$38</c:f>
              <c:numCache>
                <c:formatCode>General</c:formatCode>
                <c:ptCount val="12"/>
                <c:pt idx="0">
                  <c:v>55</c:v>
                </c:pt>
                <c:pt idx="1">
                  <c:v>44</c:v>
                </c:pt>
                <c:pt idx="2">
                  <c:v>33</c:v>
                </c:pt>
                <c:pt idx="3">
                  <c:v>55</c:v>
                </c:pt>
                <c:pt idx="4">
                  <c:v>44</c:v>
                </c:pt>
                <c:pt idx="5">
                  <c:v>33</c:v>
                </c:pt>
                <c:pt idx="6">
                  <c:v>55</c:v>
                </c:pt>
                <c:pt idx="7">
                  <c:v>44</c:v>
                </c:pt>
                <c:pt idx="8">
                  <c:v>33</c:v>
                </c:pt>
                <c:pt idx="9">
                  <c:v>55</c:v>
                </c:pt>
                <c:pt idx="10">
                  <c:v>44</c:v>
                </c:pt>
                <c:pt idx="1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54-41F3-831A-89A3830D1C2D}"/>
            </c:ext>
          </c:extLst>
        </c:ser>
        <c:ser>
          <c:idx val="3"/>
          <c:order val="3"/>
          <c:tx>
            <c:strRef>
              <c:f>Population!$G$26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Population!$C$27:$C$38</c:f>
              <c:strCache>
                <c:ptCount val="12"/>
                <c:pt idx="0">
                  <c:v>Keyboard</c:v>
                </c:pt>
                <c:pt idx="1">
                  <c:v>Mouse</c:v>
                </c:pt>
                <c:pt idx="2">
                  <c:v>Speaker</c:v>
                </c:pt>
                <c:pt idx="3">
                  <c:v>Keyboard</c:v>
                </c:pt>
                <c:pt idx="4">
                  <c:v>Mouse</c:v>
                </c:pt>
                <c:pt idx="5">
                  <c:v>Speaker</c:v>
                </c:pt>
                <c:pt idx="6">
                  <c:v>Keyboard</c:v>
                </c:pt>
                <c:pt idx="7">
                  <c:v>Mouse</c:v>
                </c:pt>
                <c:pt idx="8">
                  <c:v>Speaker</c:v>
                </c:pt>
                <c:pt idx="9">
                  <c:v>Keyboard</c:v>
                </c:pt>
                <c:pt idx="10">
                  <c:v>Mouse</c:v>
                </c:pt>
                <c:pt idx="11">
                  <c:v>Speaker</c:v>
                </c:pt>
              </c:strCache>
            </c:strRef>
          </c:cat>
          <c:val>
            <c:numRef>
              <c:f>Population!$G$27:$G$38</c:f>
              <c:numCache>
                <c:formatCode>General</c:formatCode>
                <c:ptCount val="12"/>
                <c:pt idx="0">
                  <c:v>11</c:v>
                </c:pt>
                <c:pt idx="1">
                  <c:v>22</c:v>
                </c:pt>
                <c:pt idx="2">
                  <c:v>33</c:v>
                </c:pt>
                <c:pt idx="3">
                  <c:v>11</c:v>
                </c:pt>
                <c:pt idx="4">
                  <c:v>22</c:v>
                </c:pt>
                <c:pt idx="5">
                  <c:v>33</c:v>
                </c:pt>
                <c:pt idx="6">
                  <c:v>11</c:v>
                </c:pt>
                <c:pt idx="7">
                  <c:v>22</c:v>
                </c:pt>
                <c:pt idx="8">
                  <c:v>33</c:v>
                </c:pt>
                <c:pt idx="9">
                  <c:v>11</c:v>
                </c:pt>
                <c:pt idx="10">
                  <c:v>22</c:v>
                </c:pt>
                <c:pt idx="1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54-41F3-831A-89A3830D1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985280"/>
        <c:axId val="541986360"/>
      </c:barChart>
      <c:catAx>
        <c:axId val="54198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986360"/>
        <c:crosses val="autoZero"/>
        <c:auto val="1"/>
        <c:lblAlgn val="ctr"/>
        <c:lblOffset val="100"/>
        <c:noMultiLvlLbl val="0"/>
      </c:catAx>
      <c:valAx>
        <c:axId val="54198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98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121227</xdr:colOff>
      <xdr:row>54</xdr:row>
      <xdr:rowOff>0</xdr:rowOff>
    </xdr:from>
    <xdr:to>
      <xdr:col>1</xdr:col>
      <xdr:colOff>355023</xdr:colOff>
      <xdr:row>56</xdr:row>
      <xdr:rowOff>173182</xdr:rowOff>
    </xdr:to>
    <xdr:sp macro="" textlink="">
      <xdr:nvSpPr>
        <xdr:cNvPr id="3" name="Round Diagonal Corner 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1227" y="10278341"/>
          <a:ext cx="839932" cy="640773"/>
        </a:xfrm>
        <a:prstGeom prst="round2DiagRect">
          <a:avLst>
            <a:gd name="adj1" fmla="val 50000"/>
            <a:gd name="adj2" fmla="val 0"/>
          </a:avLst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208289</xdr:colOff>
      <xdr:row>54</xdr:row>
      <xdr:rowOff>54829</xdr:rowOff>
    </xdr:from>
    <xdr:to>
      <xdr:col>1</xdr:col>
      <xdr:colOff>323746</xdr:colOff>
      <xdr:row>56</xdr:row>
      <xdr:rowOff>147205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289" y="10333170"/>
          <a:ext cx="721593" cy="5599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295276</xdr:colOff>
      <xdr:row>0</xdr:row>
      <xdr:rowOff>66675</xdr:rowOff>
    </xdr:from>
    <xdr:to>
      <xdr:col>2</xdr:col>
      <xdr:colOff>224489</xdr:colOff>
      <xdr:row>2</xdr:row>
      <xdr:rowOff>533399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6" y="66675"/>
          <a:ext cx="771646" cy="8477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140804</xdr:colOff>
      <xdr:row>0</xdr:row>
      <xdr:rowOff>57149</xdr:rowOff>
    </xdr:from>
    <xdr:to>
      <xdr:col>9</xdr:col>
      <xdr:colOff>430695</xdr:colOff>
      <xdr:row>14</xdr:row>
      <xdr:rowOff>115956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562C93-78C8-8D11-203E-24504B5E9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347869</xdr:colOff>
      <xdr:row>23</xdr:row>
      <xdr:rowOff>139976</xdr:rowOff>
    </xdr:from>
    <xdr:to>
      <xdr:col>12</xdr:col>
      <xdr:colOff>579782</xdr:colOff>
      <xdr:row>37</xdr:row>
      <xdr:rowOff>166480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3653D9-56A2-D87F-ADCC-F66FEB73D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B39:H47" totalsRowCount="1" headerRowDxfId="44" headerRowBorderDxfId="43" tableBorderDxfId="42" totalsRowBorderDxfId="41">
  <autoFilter ref="B39:H46" xr:uid="{00000000-0009-0000-0100-000003000000}"/>
  <tableColumns count="7">
    <tableColumn id="1" xr3:uid="{00000000-0010-0000-0000-000001000000}" name="SN" dataDxfId="40" totalsRowDxfId="39"/>
    <tableColumn id="2" xr3:uid="{00000000-0010-0000-0000-000002000000}" name="Products" dataDxfId="38" totalsRowDxfId="37"/>
    <tableColumn id="3" xr3:uid="{00000000-0010-0000-0000-000003000000}" name="Quantity" dataDxfId="36" totalsRowDxfId="35"/>
    <tableColumn id="4" xr3:uid="{00000000-0010-0000-0000-000004000000}" name="Rate" totalsRowFunction="custom" dataDxfId="34" totalsRowDxfId="33">
      <totalsRowFormula>MAX(Table3[Rate])</totalsRowFormula>
    </tableColumn>
    <tableColumn id="5" xr3:uid="{00000000-0010-0000-0000-000005000000}" name="Total" dataDxfId="32" totalsRowDxfId="31">
      <calculatedColumnFormula>D40*E40</calculatedColumnFormula>
    </tableColumn>
    <tableColumn id="6" xr3:uid="{00000000-0010-0000-0000-000006000000}" name="Discount" dataDxfId="30" totalsRowDxfId="29">
      <calculatedColumnFormula>F40*5%</calculatedColumnFormula>
    </tableColumn>
    <tableColumn id="7" xr3:uid="{00000000-0010-0000-0000-000007000000}" name="Paybale" dataDxfId="28" totalsRowDxfId="27">
      <calculatedColumnFormula>F40-G40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39" totalsRowShown="0" headerRowDxfId="26">
  <autoFilter ref="A1:E39" xr:uid="{00000000-0009-0000-0100-000002000000}"/>
  <tableColumns count="5">
    <tableColumn id="1" xr3:uid="{00000000-0010-0000-0100-000001000000}" name="Invoice No."/>
    <tableColumn id="2" xr3:uid="{00000000-0010-0000-0100-000002000000}" name="Date"/>
    <tableColumn id="3" xr3:uid="{00000000-0010-0000-0100-000003000000}" name="Amount"/>
    <tableColumn id="4" xr3:uid="{00000000-0010-0000-0100-000004000000}" name="Discount"/>
    <tableColumn id="5" xr3:uid="{00000000-0010-0000-0100-000005000000}" name="Total 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5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8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7" Type="http://schemas.openxmlformats.org/officeDocument/2006/relationships/drawing" Target="../drawings/drawing2.xml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Godown.xlsx" TargetMode="External"/><Relationship Id="rId4" Type="http://schemas.openxmlformats.org/officeDocument/2006/relationships/printerSettings" Target="../printerSettings/printerSettings1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5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18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5" Type="http://schemas.openxmlformats.org/officeDocument/2006/relationships/printerSettings" Target="../printerSettings/printerSettings24.bin"/><Relationship Id="rId4" Type="http://schemas.openxmlformats.org/officeDocument/2006/relationships/printerSettings" Target="../printerSettings/printerSettings2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5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2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printerSettings" Target="../printerSettings/printerSettings35.bin"/><Relationship Id="rId4" Type="http://schemas.openxmlformats.org/officeDocument/2006/relationships/printerSettings" Target="../printerSettings/printerSettings3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5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3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5" Type="http://schemas.openxmlformats.org/officeDocument/2006/relationships/printerSettings" Target="../printerSettings/printerSettings47.bin"/><Relationship Id="rId4" Type="http://schemas.openxmlformats.org/officeDocument/2006/relationships/printerSettings" Target="../printerSettings/printerSettings4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79"/>
  <sheetViews>
    <sheetView topLeftCell="A53" zoomScale="110" zoomScaleNormal="110" workbookViewId="0">
      <selection activeCell="B59" sqref="B59"/>
    </sheetView>
  </sheetViews>
  <sheetFormatPr defaultRowHeight="15" x14ac:dyDescent="0.25"/>
  <cols>
    <col min="2" max="2" width="18.28515625" customWidth="1"/>
    <col min="3" max="4" width="10.7109375" customWidth="1"/>
    <col min="5" max="5" width="12.85546875" customWidth="1"/>
    <col min="6" max="6" width="15.140625" bestFit="1" customWidth="1"/>
    <col min="7" max="7" width="14.140625" bestFit="1" customWidth="1"/>
    <col min="8" max="8" width="20.140625" bestFit="1" customWidth="1"/>
    <col min="9" max="9" width="10.85546875" bestFit="1" customWidth="1"/>
    <col min="11" max="11" width="11.85546875" customWidth="1"/>
  </cols>
  <sheetData>
    <row r="1" spans="2:14" x14ac:dyDescent="0.25">
      <c r="B1" t="s">
        <v>272</v>
      </c>
      <c r="C1" t="s">
        <v>206</v>
      </c>
      <c r="D1" t="s">
        <v>34</v>
      </c>
      <c r="E1" t="s">
        <v>273</v>
      </c>
      <c r="F1" t="s">
        <v>37</v>
      </c>
    </row>
    <row r="2" spans="2:14" x14ac:dyDescent="0.25">
      <c r="B2">
        <v>1</v>
      </c>
      <c r="C2" t="s">
        <v>274</v>
      </c>
      <c r="D2">
        <v>4000</v>
      </c>
      <c r="E2">
        <v>8</v>
      </c>
      <c r="F2">
        <f>D2*E2</f>
        <v>32000</v>
      </c>
    </row>
    <row r="3" spans="2:14" x14ac:dyDescent="0.25">
      <c r="B3">
        <v>2</v>
      </c>
      <c r="C3" t="s">
        <v>275</v>
      </c>
      <c r="D3">
        <v>14000</v>
      </c>
      <c r="E3">
        <v>6</v>
      </c>
      <c r="F3">
        <f t="shared" ref="F3:F4" si="0">D3*E3</f>
        <v>84000</v>
      </c>
      <c r="H3">
        <v>1</v>
      </c>
      <c r="I3">
        <v>1</v>
      </c>
      <c r="J3">
        <v>2</v>
      </c>
      <c r="K3" t="s">
        <v>277</v>
      </c>
      <c r="L3" t="s">
        <v>284</v>
      </c>
      <c r="M3" t="s">
        <v>291</v>
      </c>
      <c r="N3" t="s">
        <v>302</v>
      </c>
    </row>
    <row r="4" spans="2:14" x14ac:dyDescent="0.25">
      <c r="B4">
        <v>3</v>
      </c>
      <c r="C4" t="s">
        <v>276</v>
      </c>
      <c r="D4">
        <v>750</v>
      </c>
      <c r="E4">
        <v>22</v>
      </c>
      <c r="F4">
        <f t="shared" si="0"/>
        <v>16500</v>
      </c>
      <c r="H4">
        <v>2</v>
      </c>
      <c r="I4">
        <v>1</v>
      </c>
      <c r="J4">
        <v>4</v>
      </c>
      <c r="K4" t="s">
        <v>278</v>
      </c>
      <c r="L4" t="s">
        <v>285</v>
      </c>
      <c r="M4" t="s">
        <v>292</v>
      </c>
      <c r="N4" t="s">
        <v>303</v>
      </c>
    </row>
    <row r="5" spans="2:14" x14ac:dyDescent="0.25">
      <c r="H5">
        <v>3</v>
      </c>
      <c r="I5">
        <v>1</v>
      </c>
      <c r="J5">
        <v>6</v>
      </c>
      <c r="K5" t="s">
        <v>279</v>
      </c>
      <c r="L5" t="s">
        <v>286</v>
      </c>
      <c r="M5" t="s">
        <v>293</v>
      </c>
      <c r="N5" t="s">
        <v>304</v>
      </c>
    </row>
    <row r="6" spans="2:14" x14ac:dyDescent="0.25">
      <c r="B6">
        <v>300000</v>
      </c>
      <c r="C6">
        <v>500000</v>
      </c>
      <c r="D6">
        <v>700000</v>
      </c>
      <c r="H6">
        <v>4</v>
      </c>
      <c r="I6">
        <v>1</v>
      </c>
      <c r="J6">
        <v>8</v>
      </c>
      <c r="K6" t="s">
        <v>280</v>
      </c>
      <c r="L6" t="s">
        <v>287</v>
      </c>
      <c r="M6" t="s">
        <v>294</v>
      </c>
      <c r="N6" t="s">
        <v>305</v>
      </c>
    </row>
    <row r="7" spans="2:14" x14ac:dyDescent="0.25">
      <c r="H7">
        <v>5</v>
      </c>
      <c r="I7">
        <v>1</v>
      </c>
      <c r="J7">
        <v>10</v>
      </c>
      <c r="K7" t="s">
        <v>281</v>
      </c>
      <c r="L7" t="s">
        <v>288</v>
      </c>
      <c r="M7" t="s">
        <v>295</v>
      </c>
      <c r="N7" t="s">
        <v>295</v>
      </c>
    </row>
    <row r="8" spans="2:14" x14ac:dyDescent="0.25">
      <c r="H8">
        <v>6</v>
      </c>
      <c r="I8">
        <v>1</v>
      </c>
      <c r="J8">
        <v>12</v>
      </c>
      <c r="K8" t="s">
        <v>282</v>
      </c>
      <c r="L8" t="s">
        <v>289</v>
      </c>
      <c r="M8" t="s">
        <v>296</v>
      </c>
      <c r="N8" t="s">
        <v>306</v>
      </c>
    </row>
    <row r="9" spans="2:14" x14ac:dyDescent="0.25">
      <c r="H9">
        <v>7</v>
      </c>
      <c r="I9">
        <v>1</v>
      </c>
      <c r="J9">
        <v>14</v>
      </c>
      <c r="K9" t="s">
        <v>283</v>
      </c>
      <c r="L9" t="s">
        <v>290</v>
      </c>
      <c r="M9" t="s">
        <v>297</v>
      </c>
      <c r="N9" t="s">
        <v>307</v>
      </c>
    </row>
    <row r="10" spans="2:14" x14ac:dyDescent="0.25">
      <c r="C10">
        <f>AVERAGE(B6:D6)</f>
        <v>500000</v>
      </c>
      <c r="H10">
        <v>8</v>
      </c>
      <c r="I10">
        <v>1</v>
      </c>
      <c r="J10">
        <v>16</v>
      </c>
      <c r="K10" t="s">
        <v>277</v>
      </c>
      <c r="L10" t="s">
        <v>284</v>
      </c>
      <c r="M10" t="s">
        <v>231</v>
      </c>
      <c r="N10" t="s">
        <v>308</v>
      </c>
    </row>
    <row r="11" spans="2:14" x14ac:dyDescent="0.25">
      <c r="D11" t="s">
        <v>313</v>
      </c>
      <c r="E11" s="64">
        <v>44422</v>
      </c>
      <c r="H11">
        <v>9</v>
      </c>
      <c r="I11">
        <v>1</v>
      </c>
      <c r="J11">
        <v>18</v>
      </c>
      <c r="K11" t="s">
        <v>278</v>
      </c>
      <c r="L11" t="s">
        <v>285</v>
      </c>
      <c r="M11" t="s">
        <v>298</v>
      </c>
      <c r="N11" t="s">
        <v>309</v>
      </c>
    </row>
    <row r="12" spans="2:14" x14ac:dyDescent="0.25">
      <c r="E12" s="64">
        <v>44423</v>
      </c>
      <c r="H12">
        <v>10</v>
      </c>
      <c r="I12">
        <v>1</v>
      </c>
      <c r="J12">
        <v>20</v>
      </c>
      <c r="K12" t="s">
        <v>279</v>
      </c>
      <c r="L12" t="s">
        <v>286</v>
      </c>
      <c r="M12" t="s">
        <v>299</v>
      </c>
      <c r="N12" t="s">
        <v>310</v>
      </c>
    </row>
    <row r="13" spans="2:14" x14ac:dyDescent="0.25">
      <c r="E13" s="64">
        <v>44424</v>
      </c>
      <c r="H13">
        <v>11</v>
      </c>
      <c r="I13">
        <v>1</v>
      </c>
      <c r="J13">
        <v>22</v>
      </c>
      <c r="K13" t="s">
        <v>280</v>
      </c>
      <c r="L13" t="s">
        <v>287</v>
      </c>
      <c r="M13" t="s">
        <v>300</v>
      </c>
      <c r="N13" t="s">
        <v>311</v>
      </c>
    </row>
    <row r="14" spans="2:14" x14ac:dyDescent="0.25">
      <c r="E14" s="64">
        <v>44425</v>
      </c>
      <c r="H14">
        <v>12</v>
      </c>
      <c r="I14">
        <v>1</v>
      </c>
      <c r="J14">
        <v>24</v>
      </c>
      <c r="K14" t="s">
        <v>281</v>
      </c>
      <c r="L14" t="s">
        <v>288</v>
      </c>
      <c r="M14" t="s">
        <v>301</v>
      </c>
      <c r="N14" t="s">
        <v>312</v>
      </c>
    </row>
    <row r="15" spans="2:14" x14ac:dyDescent="0.25">
      <c r="E15" s="64">
        <v>44426</v>
      </c>
      <c r="H15">
        <v>13</v>
      </c>
      <c r="I15">
        <v>1</v>
      </c>
      <c r="J15">
        <v>26</v>
      </c>
      <c r="K15" t="s">
        <v>282</v>
      </c>
      <c r="L15" t="s">
        <v>289</v>
      </c>
      <c r="M15" t="s">
        <v>291</v>
      </c>
      <c r="N15" t="s">
        <v>302</v>
      </c>
    </row>
    <row r="16" spans="2:14" ht="12.75" customHeight="1" x14ac:dyDescent="0.25"/>
    <row r="17" spans="2:21" x14ac:dyDescent="0.25">
      <c r="I17">
        <v>2</v>
      </c>
      <c r="L17">
        <v>3</v>
      </c>
    </row>
    <row r="20" spans="2:21" x14ac:dyDescent="0.25">
      <c r="B20" t="s">
        <v>314</v>
      </c>
      <c r="C20" t="s">
        <v>318</v>
      </c>
      <c r="L20" t="e">
        <f>#REF!+I17+L17</f>
        <v>#REF!</v>
      </c>
    </row>
    <row r="22" spans="2:21" x14ac:dyDescent="0.25">
      <c r="B22" t="s">
        <v>315</v>
      </c>
      <c r="C22">
        <v>750000</v>
      </c>
      <c r="F22" t="s">
        <v>23</v>
      </c>
    </row>
    <row r="23" spans="2:21" x14ac:dyDescent="0.25">
      <c r="B23" t="s">
        <v>316</v>
      </c>
      <c r="C23">
        <v>680000</v>
      </c>
    </row>
    <row r="24" spans="2:21" x14ac:dyDescent="0.25">
      <c r="B24" t="s">
        <v>317</v>
      </c>
      <c r="C24">
        <v>540000</v>
      </c>
      <c r="F24" t="s">
        <v>25</v>
      </c>
      <c r="U24" t="s">
        <v>510</v>
      </c>
    </row>
    <row r="25" spans="2:21" x14ac:dyDescent="0.25">
      <c r="B25" t="s">
        <v>21</v>
      </c>
      <c r="C25">
        <v>470000</v>
      </c>
    </row>
    <row r="26" spans="2:21" x14ac:dyDescent="0.25">
      <c r="B26" t="s">
        <v>63</v>
      </c>
      <c r="C26">
        <v>800000</v>
      </c>
    </row>
    <row r="27" spans="2:21" x14ac:dyDescent="0.25">
      <c r="B27" t="s">
        <v>22</v>
      </c>
      <c r="C27">
        <v>950000</v>
      </c>
    </row>
    <row r="28" spans="2:21" x14ac:dyDescent="0.25">
      <c r="G28" t="s">
        <v>319</v>
      </c>
    </row>
    <row r="29" spans="2:21" x14ac:dyDescent="0.25">
      <c r="B29" t="s">
        <v>37</v>
      </c>
    </row>
    <row r="31" spans="2:21" x14ac:dyDescent="0.25">
      <c r="B31" s="76" t="s">
        <v>320</v>
      </c>
      <c r="C31" s="76"/>
      <c r="D31" s="76" t="s">
        <v>321</v>
      </c>
      <c r="E31" s="76" t="s">
        <v>322</v>
      </c>
      <c r="F31" s="76" t="s">
        <v>194</v>
      </c>
      <c r="G31" s="76" t="s">
        <v>323</v>
      </c>
      <c r="H31" s="76" t="s">
        <v>122</v>
      </c>
    </row>
    <row r="33" spans="2:11" x14ac:dyDescent="0.25">
      <c r="B33">
        <v>170000</v>
      </c>
      <c r="D33">
        <v>65000</v>
      </c>
      <c r="E33">
        <v>40000</v>
      </c>
      <c r="F33">
        <v>15000</v>
      </c>
      <c r="G33">
        <v>5000</v>
      </c>
      <c r="H33">
        <f>B33-D33-E33-F33-G33</f>
        <v>45000</v>
      </c>
    </row>
    <row r="35" spans="2:11" x14ac:dyDescent="0.25">
      <c r="B35" s="199" t="s">
        <v>329</v>
      </c>
      <c r="C35" s="200"/>
      <c r="D35" s="200"/>
      <c r="E35" s="200"/>
      <c r="F35" s="200"/>
      <c r="G35" s="200"/>
      <c r="H35" s="201"/>
    </row>
    <row r="36" spans="2:11" x14ac:dyDescent="0.25">
      <c r="B36" s="202"/>
      <c r="C36" s="203"/>
      <c r="D36" s="203"/>
      <c r="E36" s="203"/>
      <c r="F36" s="203"/>
      <c r="G36" s="203"/>
      <c r="H36" s="204"/>
    </row>
    <row r="37" spans="2:11" x14ac:dyDescent="0.25">
      <c r="B37" s="202"/>
      <c r="C37" s="203"/>
      <c r="D37" s="203"/>
      <c r="E37" s="203"/>
      <c r="F37" s="203"/>
      <c r="G37" s="203"/>
      <c r="H37" s="204"/>
    </row>
    <row r="38" spans="2:11" x14ac:dyDescent="0.25">
      <c r="B38" s="205"/>
      <c r="C38" s="206"/>
      <c r="D38" s="206"/>
      <c r="E38" s="206"/>
      <c r="F38" s="206"/>
      <c r="G38" s="206"/>
      <c r="H38" s="207"/>
    </row>
    <row r="39" spans="2:11" x14ac:dyDescent="0.25">
      <c r="B39" s="149" t="s">
        <v>272</v>
      </c>
      <c r="C39" s="150" t="s">
        <v>324</v>
      </c>
      <c r="D39" s="150" t="s">
        <v>273</v>
      </c>
      <c r="E39" s="150" t="s">
        <v>235</v>
      </c>
      <c r="F39" s="150" t="s">
        <v>37</v>
      </c>
      <c r="G39" s="150" t="s">
        <v>325</v>
      </c>
      <c r="H39" s="151" t="s">
        <v>328</v>
      </c>
    </row>
    <row r="40" spans="2:11" x14ac:dyDescent="0.25">
      <c r="B40" s="142">
        <v>1</v>
      </c>
      <c r="C40" s="7" t="s">
        <v>274</v>
      </c>
      <c r="D40" s="7">
        <v>5</v>
      </c>
      <c r="E40" s="65">
        <v>3500</v>
      </c>
      <c r="F40" s="66">
        <f t="shared" ref="F40:F46" si="1">D40*E40</f>
        <v>17500</v>
      </c>
      <c r="G40" s="66">
        <f t="shared" ref="G40:G46" si="2">F40*5%</f>
        <v>875</v>
      </c>
      <c r="H40" s="143">
        <f t="shared" ref="H40:H46" si="3">F40-G40</f>
        <v>16625</v>
      </c>
    </row>
    <row r="41" spans="2:11" x14ac:dyDescent="0.25">
      <c r="B41" s="142">
        <v>2</v>
      </c>
      <c r="C41" s="7" t="s">
        <v>274</v>
      </c>
      <c r="D41" s="7">
        <v>4</v>
      </c>
      <c r="E41" s="65">
        <v>14000</v>
      </c>
      <c r="F41" s="66">
        <f t="shared" si="1"/>
        <v>56000</v>
      </c>
      <c r="G41" s="66">
        <f t="shared" si="2"/>
        <v>2800</v>
      </c>
      <c r="H41" s="143">
        <f t="shared" si="3"/>
        <v>53200</v>
      </c>
    </row>
    <row r="42" spans="2:11" x14ac:dyDescent="0.25">
      <c r="B42" s="142">
        <v>3</v>
      </c>
      <c r="C42" s="7" t="s">
        <v>326</v>
      </c>
      <c r="D42" s="7">
        <v>6</v>
      </c>
      <c r="E42" s="65">
        <v>15000</v>
      </c>
      <c r="F42" s="66">
        <f t="shared" si="1"/>
        <v>90000</v>
      </c>
      <c r="G42" s="66">
        <f t="shared" si="2"/>
        <v>4500</v>
      </c>
      <c r="H42" s="143">
        <f t="shared" si="3"/>
        <v>85500</v>
      </c>
    </row>
    <row r="43" spans="2:11" x14ac:dyDescent="0.25">
      <c r="B43" s="142">
        <v>4</v>
      </c>
      <c r="C43" s="7" t="s">
        <v>327</v>
      </c>
      <c r="D43" s="7">
        <v>4</v>
      </c>
      <c r="E43" s="65">
        <v>6000</v>
      </c>
      <c r="F43" s="66">
        <f t="shared" si="1"/>
        <v>24000</v>
      </c>
      <c r="G43" s="66">
        <f t="shared" si="2"/>
        <v>1200</v>
      </c>
      <c r="H43" s="143">
        <f t="shared" si="3"/>
        <v>22800</v>
      </c>
    </row>
    <row r="44" spans="2:11" x14ac:dyDescent="0.25">
      <c r="B44" s="142">
        <v>5</v>
      </c>
      <c r="C44" s="7" t="s">
        <v>210</v>
      </c>
      <c r="D44" s="7">
        <v>5</v>
      </c>
      <c r="E44" s="65">
        <v>300</v>
      </c>
      <c r="F44" s="66">
        <f t="shared" si="1"/>
        <v>1500</v>
      </c>
      <c r="G44" s="66">
        <f t="shared" si="2"/>
        <v>75</v>
      </c>
      <c r="H44" s="143">
        <f t="shared" si="3"/>
        <v>1425</v>
      </c>
    </row>
    <row r="45" spans="2:11" x14ac:dyDescent="0.25">
      <c r="B45" s="142">
        <v>6</v>
      </c>
      <c r="C45" s="7" t="s">
        <v>207</v>
      </c>
      <c r="D45" s="7">
        <v>6</v>
      </c>
      <c r="E45" s="65">
        <v>250</v>
      </c>
      <c r="F45" s="66">
        <f t="shared" si="1"/>
        <v>1500</v>
      </c>
      <c r="G45" s="66">
        <f t="shared" si="2"/>
        <v>75</v>
      </c>
      <c r="H45" s="143">
        <f t="shared" si="3"/>
        <v>1425</v>
      </c>
    </row>
    <row r="46" spans="2:11" x14ac:dyDescent="0.25">
      <c r="B46" s="144">
        <v>7</v>
      </c>
      <c r="C46" s="145" t="s">
        <v>276</v>
      </c>
      <c r="D46" s="145">
        <v>2</v>
      </c>
      <c r="E46" s="146">
        <v>800</v>
      </c>
      <c r="F46" s="147">
        <f t="shared" si="1"/>
        <v>1600</v>
      </c>
      <c r="G46" s="147">
        <f t="shared" si="2"/>
        <v>80</v>
      </c>
      <c r="H46" s="148">
        <f t="shared" si="3"/>
        <v>1520</v>
      </c>
    </row>
    <row r="47" spans="2:11" x14ac:dyDescent="0.25">
      <c r="B47" s="144"/>
      <c r="C47" s="145"/>
      <c r="D47" s="145"/>
      <c r="E47" s="146">
        <f>MAX(Table3[Rate])</f>
        <v>15000</v>
      </c>
      <c r="F47" s="147"/>
      <c r="G47" s="147"/>
      <c r="H47" s="148"/>
    </row>
    <row r="48" spans="2:11" x14ac:dyDescent="0.25">
      <c r="C48">
        <f>COUNTA(Table3[Products])</f>
        <v>7</v>
      </c>
      <c r="E48">
        <f>MIN(Table3[Rate])</f>
        <v>250</v>
      </c>
      <c r="K48" t="s">
        <v>397</v>
      </c>
    </row>
    <row r="49" spans="1:14" x14ac:dyDescent="0.25">
      <c r="E49">
        <f>AVERAGE(Table3[Rate])</f>
        <v>5692.8571428571431</v>
      </c>
    </row>
    <row r="50" spans="1:14" x14ac:dyDescent="0.25">
      <c r="C50">
        <f>COUNTBLANK(Table3[Products])</f>
        <v>0</v>
      </c>
      <c r="D50">
        <f>SMALL(Table3[Quantity],5)</f>
        <v>5</v>
      </c>
    </row>
    <row r="51" spans="1:14" ht="15" customHeight="1" x14ac:dyDescent="0.25">
      <c r="D51">
        <f>LARGE(Table3[Quantity],1)</f>
        <v>6</v>
      </c>
      <c r="G51" s="76" t="s">
        <v>375</v>
      </c>
      <c r="H51" s="76" t="s">
        <v>324</v>
      </c>
      <c r="I51" s="76" t="s">
        <v>235</v>
      </c>
    </row>
    <row r="52" spans="1:14" ht="15" customHeight="1" x14ac:dyDescent="0.25">
      <c r="G52">
        <v>1</v>
      </c>
      <c r="H52" t="s">
        <v>351</v>
      </c>
      <c r="I52">
        <v>320</v>
      </c>
      <c r="K52" s="103"/>
    </row>
    <row r="53" spans="1:14" ht="16.5" customHeight="1" x14ac:dyDescent="0.25">
      <c r="G53">
        <v>2</v>
      </c>
      <c r="H53" t="s">
        <v>352</v>
      </c>
      <c r="I53">
        <v>310</v>
      </c>
      <c r="K53" s="104"/>
    </row>
    <row r="54" spans="1:14" ht="15" customHeight="1" x14ac:dyDescent="0.25">
      <c r="G54">
        <v>3</v>
      </c>
      <c r="H54" t="s">
        <v>353</v>
      </c>
      <c r="I54">
        <v>340</v>
      </c>
    </row>
    <row r="55" spans="1:14" ht="21.75" customHeight="1" x14ac:dyDescent="0.25">
      <c r="A55" s="212" t="s">
        <v>379</v>
      </c>
      <c r="B55" s="213"/>
      <c r="C55" s="213"/>
      <c r="D55" s="213"/>
      <c r="E55" s="214"/>
      <c r="F55" s="77"/>
      <c r="G55">
        <v>4</v>
      </c>
      <c r="H55" t="s">
        <v>354</v>
      </c>
      <c r="I55">
        <v>170</v>
      </c>
      <c r="K55" s="104"/>
    </row>
    <row r="56" spans="1:14" ht="15" customHeight="1" x14ac:dyDescent="0.25">
      <c r="A56" s="215" t="s">
        <v>378</v>
      </c>
      <c r="B56" s="216"/>
      <c r="C56" s="216"/>
      <c r="D56" s="216"/>
      <c r="E56" s="217"/>
      <c r="G56">
        <v>5</v>
      </c>
      <c r="H56" t="s">
        <v>355</v>
      </c>
      <c r="I56">
        <v>410</v>
      </c>
    </row>
    <row r="57" spans="1:14" ht="15" customHeight="1" x14ac:dyDescent="0.25">
      <c r="A57" s="218" t="s">
        <v>376</v>
      </c>
      <c r="B57" s="219"/>
      <c r="C57" s="219"/>
      <c r="D57" s="219"/>
      <c r="E57" s="220"/>
      <c r="G57">
        <v>6</v>
      </c>
      <c r="H57" t="s">
        <v>356</v>
      </c>
      <c r="I57">
        <v>350</v>
      </c>
    </row>
    <row r="58" spans="1:14" ht="18.75" customHeight="1" x14ac:dyDescent="0.25">
      <c r="A58" s="208" t="s">
        <v>377</v>
      </c>
      <c r="B58" s="209"/>
      <c r="C58" s="209"/>
      <c r="D58" s="209"/>
      <c r="E58" s="210"/>
      <c r="G58">
        <v>7</v>
      </c>
      <c r="H58" t="s">
        <v>357</v>
      </c>
      <c r="I58">
        <v>120</v>
      </c>
    </row>
    <row r="59" spans="1:14" ht="18.75" customHeight="1" x14ac:dyDescent="0.25">
      <c r="A59" s="108" t="s">
        <v>45</v>
      </c>
      <c r="B59" s="112" t="str">
        <f ca="1">IF(B60&lt;&gt;"",IF(B59="",NOW(),B59),"")</f>
        <v/>
      </c>
      <c r="C59" s="36"/>
      <c r="D59" s="109" t="s">
        <v>349</v>
      </c>
      <c r="E59" s="113" t="str">
        <f ca="1">IF(B60&lt;&gt;"",IF(E59="",NOW(),E59),"")</f>
        <v/>
      </c>
      <c r="G59">
        <v>8</v>
      </c>
      <c r="H59" t="s">
        <v>358</v>
      </c>
      <c r="I59">
        <v>170</v>
      </c>
    </row>
    <row r="60" spans="1:14" ht="18.75" customHeight="1" x14ac:dyDescent="0.25">
      <c r="A60" s="108" t="s">
        <v>348</v>
      </c>
      <c r="B60" s="114">
        <v>2</v>
      </c>
      <c r="C60" s="36"/>
      <c r="D60" s="109" t="s">
        <v>350</v>
      </c>
      <c r="E60" s="79" t="str">
        <f ca="1">LEFT(B59,3) &amp; "-" &amp; RIGHT(B60,2)</f>
        <v>-</v>
      </c>
      <c r="G60">
        <v>9</v>
      </c>
      <c r="H60" t="s">
        <v>360</v>
      </c>
      <c r="I60">
        <v>50</v>
      </c>
      <c r="M60" s="95"/>
      <c r="N60" s="96"/>
    </row>
    <row r="61" spans="1:14" x14ac:dyDescent="0.25">
      <c r="A61" s="80" t="s">
        <v>272</v>
      </c>
      <c r="B61" s="80" t="s">
        <v>324</v>
      </c>
      <c r="C61" s="80" t="s">
        <v>273</v>
      </c>
      <c r="D61" s="80" t="s">
        <v>235</v>
      </c>
      <c r="E61" s="80" t="s">
        <v>79</v>
      </c>
      <c r="G61">
        <v>10</v>
      </c>
      <c r="H61" t="s">
        <v>359</v>
      </c>
      <c r="I61">
        <v>145</v>
      </c>
      <c r="M61" s="95"/>
    </row>
    <row r="62" spans="1:14" ht="22.5" customHeight="1" x14ac:dyDescent="0.25">
      <c r="A62" s="81">
        <f>IF(ISBLANK(B62),"",MAX(A61:$A$61)+1)</f>
        <v>1</v>
      </c>
      <c r="B62" s="115" t="s">
        <v>356</v>
      </c>
      <c r="C62" s="116">
        <v>1</v>
      </c>
      <c r="D62" s="87">
        <f>IFERROR(VLOOKUP(B62,$H$51:$I$70,2,0),"")</f>
        <v>350</v>
      </c>
      <c r="E62" s="87">
        <f>IFERROR(C62*D62,0)</f>
        <v>350</v>
      </c>
      <c r="G62">
        <v>11</v>
      </c>
      <c r="H62" t="s">
        <v>361</v>
      </c>
      <c r="I62">
        <v>110</v>
      </c>
      <c r="M62" s="95"/>
    </row>
    <row r="63" spans="1:14" ht="22.5" customHeight="1" x14ac:dyDescent="0.25">
      <c r="A63" s="81">
        <f>IF(ISBLANK(B63),"",MAX(A$61:$A62)+1)</f>
        <v>2</v>
      </c>
      <c r="B63" s="83" t="s">
        <v>352</v>
      </c>
      <c r="C63" s="85">
        <v>2</v>
      </c>
      <c r="D63" s="87">
        <f t="shared" ref="D63:D71" si="4">IFERROR(VLOOKUP(B63,$H$51:$I$70,2,0),"")</f>
        <v>310</v>
      </c>
      <c r="E63" s="87">
        <f t="shared" ref="E63:E71" si="5">IFERROR(C63*D63,0)</f>
        <v>620</v>
      </c>
      <c r="G63">
        <v>12</v>
      </c>
      <c r="H63" t="s">
        <v>362</v>
      </c>
      <c r="I63">
        <v>20</v>
      </c>
      <c r="M63" s="95"/>
    </row>
    <row r="64" spans="1:14" ht="22.5" customHeight="1" x14ac:dyDescent="0.25">
      <c r="A64" s="81">
        <f>IF(ISBLANK(B64),"",MAX(A$61:$A63)+1)</f>
        <v>3</v>
      </c>
      <c r="B64" s="83" t="s">
        <v>353</v>
      </c>
      <c r="C64" s="85">
        <v>4</v>
      </c>
      <c r="D64" s="87">
        <f t="shared" si="4"/>
        <v>340</v>
      </c>
      <c r="E64" s="87">
        <f t="shared" si="5"/>
        <v>1360</v>
      </c>
      <c r="G64">
        <v>13</v>
      </c>
      <c r="H64" t="s">
        <v>363</v>
      </c>
      <c r="I64">
        <v>70</v>
      </c>
      <c r="M64" s="95"/>
    </row>
    <row r="65" spans="1:13" ht="22.5" customHeight="1" x14ac:dyDescent="0.25">
      <c r="A65" s="81">
        <f>IF(ISBLANK(B65),"",MAX(A$61:$A64)+1)</f>
        <v>4</v>
      </c>
      <c r="B65" s="83" t="s">
        <v>365</v>
      </c>
      <c r="C65" s="85">
        <v>2</v>
      </c>
      <c r="D65" s="87">
        <f t="shared" si="4"/>
        <v>120</v>
      </c>
      <c r="E65" s="87">
        <f t="shared" si="5"/>
        <v>240</v>
      </c>
      <c r="G65">
        <v>14</v>
      </c>
      <c r="H65" t="s">
        <v>364</v>
      </c>
      <c r="I65">
        <v>60</v>
      </c>
      <c r="M65" s="95"/>
    </row>
    <row r="66" spans="1:13" ht="22.5" customHeight="1" x14ac:dyDescent="0.25">
      <c r="A66" s="81" t="str">
        <f>IF(ISBLANK(B66),"",MAX(A$61:$A65)+1)</f>
        <v/>
      </c>
      <c r="B66" s="83"/>
      <c r="C66" s="85"/>
      <c r="D66" s="87" t="str">
        <f t="shared" si="4"/>
        <v/>
      </c>
      <c r="E66" s="87">
        <f t="shared" si="5"/>
        <v>0</v>
      </c>
      <c r="G66">
        <v>15</v>
      </c>
      <c r="H66" t="s">
        <v>365</v>
      </c>
      <c r="I66">
        <v>120</v>
      </c>
      <c r="M66" s="95"/>
    </row>
    <row r="67" spans="1:13" ht="22.5" customHeight="1" x14ac:dyDescent="0.25">
      <c r="A67" s="81" t="str">
        <f>IF(ISBLANK(B67),"",MAX(A$61:$A66)+1)</f>
        <v/>
      </c>
      <c r="B67" s="83"/>
      <c r="C67" s="85"/>
      <c r="D67" s="87" t="str">
        <f t="shared" si="4"/>
        <v/>
      </c>
      <c r="E67" s="87">
        <f t="shared" si="5"/>
        <v>0</v>
      </c>
      <c r="G67">
        <v>16</v>
      </c>
      <c r="H67" t="s">
        <v>366</v>
      </c>
      <c r="I67">
        <v>160</v>
      </c>
      <c r="M67" s="95"/>
    </row>
    <row r="68" spans="1:13" ht="22.5" customHeight="1" x14ac:dyDescent="0.25">
      <c r="A68" s="81" t="str">
        <f>IF(ISBLANK(B68),"",MAX(A$61:$A67)+1)</f>
        <v/>
      </c>
      <c r="B68" s="83"/>
      <c r="C68" s="85"/>
      <c r="D68" s="87" t="str">
        <f t="shared" si="4"/>
        <v/>
      </c>
      <c r="E68" s="87">
        <f t="shared" si="5"/>
        <v>0</v>
      </c>
      <c r="G68">
        <v>17</v>
      </c>
      <c r="H68" t="s">
        <v>367</v>
      </c>
      <c r="I68">
        <v>240</v>
      </c>
    </row>
    <row r="69" spans="1:13" ht="22.5" customHeight="1" x14ac:dyDescent="0.25">
      <c r="A69" s="81" t="str">
        <f>IF(ISBLANK(B69),"",MAX(A$61:$A68)+1)</f>
        <v/>
      </c>
      <c r="B69" s="83"/>
      <c r="C69" s="85"/>
      <c r="D69" s="87" t="str">
        <f t="shared" si="4"/>
        <v/>
      </c>
      <c r="E69" s="87">
        <f t="shared" si="5"/>
        <v>0</v>
      </c>
      <c r="G69">
        <v>18</v>
      </c>
      <c r="H69" t="s">
        <v>368</v>
      </c>
      <c r="I69">
        <v>40</v>
      </c>
    </row>
    <row r="70" spans="1:13" ht="22.5" customHeight="1" x14ac:dyDescent="0.25">
      <c r="A70" s="81" t="str">
        <f>IF(ISBLANK(B70),"",MAX(A$61:$A69)+1)</f>
        <v/>
      </c>
      <c r="B70" s="83"/>
      <c r="C70" s="85"/>
      <c r="D70" s="87" t="str">
        <f t="shared" si="4"/>
        <v/>
      </c>
      <c r="E70" s="87">
        <f t="shared" si="5"/>
        <v>0</v>
      </c>
      <c r="G70">
        <v>19</v>
      </c>
      <c r="H70" t="s">
        <v>369</v>
      </c>
      <c r="I70">
        <v>100</v>
      </c>
    </row>
    <row r="71" spans="1:13" ht="22.5" customHeight="1" x14ac:dyDescent="0.25">
      <c r="A71" s="82" t="str">
        <f>IF(ISBLANK(B71),"",MAX(A$61:$A70)+1)</f>
        <v/>
      </c>
      <c r="B71" s="84"/>
      <c r="C71" s="86"/>
      <c r="D71" s="88" t="str">
        <f t="shared" si="4"/>
        <v/>
      </c>
      <c r="E71" s="88">
        <f t="shared" si="5"/>
        <v>0</v>
      </c>
    </row>
    <row r="72" spans="1:13" ht="15.75" x14ac:dyDescent="0.25">
      <c r="A72" s="89"/>
      <c r="C72" s="221" t="s">
        <v>380</v>
      </c>
      <c r="D72" s="221"/>
      <c r="E72" s="110">
        <f>SUM(E62:E71)</f>
        <v>2570</v>
      </c>
    </row>
    <row r="73" spans="1:13" ht="15.75" x14ac:dyDescent="0.25">
      <c r="A73" s="89"/>
      <c r="C73" s="221" t="s">
        <v>325</v>
      </c>
      <c r="D73" s="221"/>
      <c r="E73" s="111">
        <v>5</v>
      </c>
      <c r="G73" t="str">
        <f ca="1">E60</f>
        <v>-</v>
      </c>
      <c r="H73" s="103" t="str">
        <f ca="1">B59</f>
        <v/>
      </c>
      <c r="I73" s="104">
        <f>E72</f>
        <v>2570</v>
      </c>
      <c r="J73">
        <f>E73</f>
        <v>5</v>
      </c>
      <c r="K73" s="104">
        <f>E74</f>
        <v>2441.5</v>
      </c>
    </row>
    <row r="74" spans="1:13" ht="15.75" x14ac:dyDescent="0.25">
      <c r="A74" s="90"/>
      <c r="B74" s="91"/>
      <c r="C74" s="221" t="s">
        <v>347</v>
      </c>
      <c r="D74" s="221"/>
      <c r="E74" s="110">
        <f>E72-E72*E73%</f>
        <v>2441.5</v>
      </c>
      <c r="K74" s="104"/>
    </row>
    <row r="75" spans="1:13" x14ac:dyDescent="0.25">
      <c r="G75" t="s">
        <v>402</v>
      </c>
      <c r="H75" s="105">
        <v>45557.505692939812</v>
      </c>
      <c r="I75" s="104">
        <v>680</v>
      </c>
      <c r="J75">
        <v>2</v>
      </c>
      <c r="K75" s="104">
        <v>666.4</v>
      </c>
    </row>
    <row r="76" spans="1:13" x14ac:dyDescent="0.25">
      <c r="A76" t="s">
        <v>370</v>
      </c>
      <c r="B76" t="s">
        <v>371</v>
      </c>
    </row>
    <row r="78" spans="1:13" x14ac:dyDescent="0.25">
      <c r="A78" s="211" t="s">
        <v>374</v>
      </c>
      <c r="B78" s="78" t="s">
        <v>372</v>
      </c>
    </row>
    <row r="79" spans="1:13" x14ac:dyDescent="0.25">
      <c r="A79" s="211"/>
      <c r="B79" s="78" t="s">
        <v>373</v>
      </c>
    </row>
  </sheetData>
  <customSheetViews>
    <customSheetView guid="{D6BA57A5-118E-4B58-A351-7E1C36DA5B56}" scale="110" topLeftCell="A61">
      <selection activeCell="G74" sqref="G74"/>
      <pageMargins left="0.7" right="0.7" top="0.75" bottom="0.75" header="0.3" footer="0.3"/>
      <pageSetup orientation="portrait" r:id="rId1"/>
    </customSheetView>
    <customSheetView guid="{05B8E57A-BB97-41F0-B6FB-606E79293C77}" scale="110" topLeftCell="A61">
      <selection activeCell="G74" sqref="G74"/>
      <pageMargins left="0.7" right="0.7" top="0.75" bottom="0.75" header="0.3" footer="0.3"/>
      <pageSetup orientation="portrait" r:id="rId2"/>
    </customSheetView>
  </customSheetViews>
  <mergeCells count="9">
    <mergeCell ref="B35:H38"/>
    <mergeCell ref="A58:E58"/>
    <mergeCell ref="A78:A79"/>
    <mergeCell ref="A55:E55"/>
    <mergeCell ref="A56:E56"/>
    <mergeCell ref="A57:E57"/>
    <mergeCell ref="C72:D72"/>
    <mergeCell ref="C73:D73"/>
    <mergeCell ref="C74:D74"/>
  </mergeCells>
  <dataValidations disablePrompts="1" count="1">
    <dataValidation type="list" allowBlank="1" showInputMessage="1" showErrorMessage="1" sqref="B62:B71" xr:uid="{00000000-0002-0000-0000-000000000000}">
      <formula1>$H$52:$H$70</formula1>
    </dataValidation>
  </dataValidations>
  <pageMargins left="0.25" right="0.25" top="0.75" bottom="0.75" header="0.3" footer="0.3"/>
  <pageSetup paperSize="9" orientation="portrait" r:id="rId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8"/>
  <sheetViews>
    <sheetView workbookViewId="0">
      <selection activeCell="C1" sqref="C1"/>
    </sheetView>
  </sheetViews>
  <sheetFormatPr defaultRowHeight="15" x14ac:dyDescent="0.25"/>
  <cols>
    <col min="1" max="5" width="29.85546875" customWidth="1"/>
    <col min="9" max="9" width="48" bestFit="1" customWidth="1"/>
  </cols>
  <sheetData>
    <row r="1" spans="1:9" ht="18.75" x14ac:dyDescent="0.25">
      <c r="A1" s="100" t="s">
        <v>381</v>
      </c>
      <c r="B1" s="100" t="s">
        <v>45</v>
      </c>
      <c r="C1" s="100" t="s">
        <v>79</v>
      </c>
      <c r="D1" s="100" t="s">
        <v>325</v>
      </c>
      <c r="E1" s="100" t="s">
        <v>380</v>
      </c>
      <c r="I1" t="s">
        <v>382</v>
      </c>
    </row>
    <row r="2" spans="1:9" ht="18.75" x14ac:dyDescent="0.25">
      <c r="A2" s="101" t="s">
        <v>402</v>
      </c>
      <c r="B2" s="106">
        <v>45557.505692939812</v>
      </c>
      <c r="C2" s="107">
        <v>680</v>
      </c>
      <c r="D2" s="101">
        <v>2</v>
      </c>
      <c r="E2" s="107">
        <v>666.4</v>
      </c>
    </row>
    <row r="3" spans="1:9" ht="18.75" x14ac:dyDescent="0.25">
      <c r="A3" s="101" t="s">
        <v>402</v>
      </c>
      <c r="B3" s="106">
        <v>45557.505692939812</v>
      </c>
      <c r="C3" s="107">
        <v>680</v>
      </c>
      <c r="D3" s="101">
        <v>2</v>
      </c>
      <c r="E3" s="107">
        <v>666.4</v>
      </c>
    </row>
    <row r="4" spans="1:9" ht="18.75" x14ac:dyDescent="0.25">
      <c r="A4" s="101" t="s">
        <v>401</v>
      </c>
      <c r="B4" s="106">
        <v>45557.502006828705</v>
      </c>
      <c r="C4" s="107">
        <v>120</v>
      </c>
      <c r="D4" s="101">
        <v>0</v>
      </c>
      <c r="E4" s="107">
        <v>120</v>
      </c>
    </row>
    <row r="5" spans="1:9" ht="18.75" x14ac:dyDescent="0.25">
      <c r="A5" s="101" t="s">
        <v>400</v>
      </c>
      <c r="B5" s="106">
        <v>45557.501524305553</v>
      </c>
      <c r="C5" s="107">
        <v>0</v>
      </c>
      <c r="D5" s="101">
        <v>0</v>
      </c>
      <c r="E5" s="107">
        <v>0</v>
      </c>
    </row>
    <row r="6" spans="1:9" ht="18.75" x14ac:dyDescent="0.25">
      <c r="A6" s="101" t="s">
        <v>399</v>
      </c>
      <c r="B6" s="106">
        <v>45557.500688425927</v>
      </c>
      <c r="C6" s="107">
        <v>300</v>
      </c>
      <c r="D6" s="101">
        <v>2</v>
      </c>
      <c r="E6" s="107">
        <v>294</v>
      </c>
    </row>
    <row r="7" spans="1:9" ht="18.75" x14ac:dyDescent="0.25">
      <c r="A7" s="101" t="s">
        <v>398</v>
      </c>
      <c r="B7" s="106">
        <v>45556.827083564815</v>
      </c>
      <c r="C7" s="107">
        <v>4190</v>
      </c>
      <c r="D7" s="101">
        <v>5</v>
      </c>
      <c r="E7" s="107">
        <v>3980.5</v>
      </c>
    </row>
    <row r="8" spans="1:9" ht="18.75" x14ac:dyDescent="0.25">
      <c r="A8" s="101">
        <v>1</v>
      </c>
      <c r="B8" s="102">
        <v>45556</v>
      </c>
      <c r="C8" s="101">
        <v>400</v>
      </c>
      <c r="D8" s="101">
        <v>5</v>
      </c>
      <c r="E8" s="101">
        <v>380</v>
      </c>
    </row>
    <row r="9" spans="1:9" ht="18.75" x14ac:dyDescent="0.25">
      <c r="A9" s="101"/>
      <c r="B9" s="101"/>
      <c r="C9" s="101"/>
      <c r="D9" s="101"/>
      <c r="E9" s="101"/>
    </row>
    <row r="10" spans="1:9" ht="18.75" x14ac:dyDescent="0.25">
      <c r="A10" s="101"/>
      <c r="B10" s="101"/>
      <c r="C10" s="101"/>
      <c r="D10" s="101"/>
      <c r="E10" s="101"/>
    </row>
    <row r="11" spans="1:9" ht="18.75" x14ac:dyDescent="0.25">
      <c r="A11" s="101"/>
      <c r="B11" s="101"/>
      <c r="C11" s="101"/>
      <c r="D11" s="101"/>
      <c r="E11" s="101"/>
    </row>
    <row r="12" spans="1:9" ht="18.75" x14ac:dyDescent="0.25">
      <c r="A12" s="101"/>
      <c r="B12" s="101"/>
      <c r="C12" s="101"/>
      <c r="D12" s="101"/>
      <c r="E12" s="101"/>
    </row>
    <row r="13" spans="1:9" ht="18.75" x14ac:dyDescent="0.25">
      <c r="A13" s="101"/>
      <c r="B13" s="101"/>
      <c r="C13" s="101"/>
      <c r="D13" s="101"/>
      <c r="E13" s="101"/>
    </row>
    <row r="14" spans="1:9" ht="18.75" x14ac:dyDescent="0.25">
      <c r="A14" s="101"/>
      <c r="B14" s="101"/>
      <c r="C14" s="101"/>
      <c r="D14" s="101"/>
      <c r="E14" s="101"/>
    </row>
    <row r="15" spans="1:9" ht="18.75" x14ac:dyDescent="0.25">
      <c r="A15" s="101"/>
      <c r="B15" s="101"/>
      <c r="C15" s="101"/>
      <c r="D15" s="101"/>
      <c r="E15" s="101"/>
    </row>
    <row r="16" spans="1:9" ht="18.75" x14ac:dyDescent="0.25">
      <c r="A16" s="101"/>
      <c r="B16" s="101"/>
      <c r="C16" s="101"/>
      <c r="D16" s="101"/>
      <c r="E16" s="101"/>
    </row>
    <row r="17" spans="1:5" ht="18.75" x14ac:dyDescent="0.25">
      <c r="A17" s="101"/>
      <c r="B17" s="101"/>
      <c r="C17" s="101"/>
      <c r="D17" s="101"/>
      <c r="E17" s="101"/>
    </row>
    <row r="18" spans="1:5" ht="18.75" x14ac:dyDescent="0.25">
      <c r="A18" s="101"/>
      <c r="B18" s="101"/>
      <c r="C18" s="101"/>
      <c r="D18" s="101"/>
      <c r="E18" s="101"/>
    </row>
    <row r="19" spans="1:5" ht="18.75" x14ac:dyDescent="0.25">
      <c r="A19" s="101"/>
      <c r="B19" s="101"/>
      <c r="C19" s="101"/>
      <c r="D19" s="101"/>
      <c r="E19" s="101"/>
    </row>
    <row r="20" spans="1:5" ht="18.75" x14ac:dyDescent="0.25">
      <c r="A20" s="101"/>
      <c r="B20" s="101"/>
      <c r="C20" s="101"/>
      <c r="D20" s="101"/>
      <c r="E20" s="101"/>
    </row>
    <row r="21" spans="1:5" ht="18.75" x14ac:dyDescent="0.25">
      <c r="A21" s="101"/>
      <c r="B21" s="101"/>
      <c r="C21" s="101"/>
      <c r="D21" s="101"/>
      <c r="E21" s="101"/>
    </row>
    <row r="22" spans="1:5" ht="18.75" x14ac:dyDescent="0.25">
      <c r="A22" s="101"/>
      <c r="B22" s="101"/>
      <c r="C22" s="101"/>
      <c r="D22" s="101"/>
      <c r="E22" s="101"/>
    </row>
    <row r="23" spans="1:5" ht="18.75" x14ac:dyDescent="0.25">
      <c r="A23" s="101"/>
      <c r="B23" s="101"/>
      <c r="C23" s="101"/>
      <c r="D23" s="101"/>
      <c r="E23" s="101"/>
    </row>
    <row r="24" spans="1:5" ht="18.75" x14ac:dyDescent="0.25">
      <c r="A24" s="101"/>
      <c r="B24" s="101"/>
      <c r="C24" s="101"/>
      <c r="D24" s="101"/>
      <c r="E24" s="101"/>
    </row>
    <row r="25" spans="1:5" ht="18.75" x14ac:dyDescent="0.25">
      <c r="A25" s="101"/>
      <c r="B25" s="101"/>
      <c r="C25" s="101"/>
      <c r="D25" s="101"/>
      <c r="E25" s="101"/>
    </row>
    <row r="26" spans="1:5" ht="18.75" x14ac:dyDescent="0.25">
      <c r="A26" s="101"/>
      <c r="B26" s="101"/>
      <c r="C26" s="101"/>
      <c r="D26" s="101"/>
      <c r="E26" s="101"/>
    </row>
    <row r="27" spans="1:5" ht="18.75" x14ac:dyDescent="0.25">
      <c r="A27" s="101"/>
      <c r="B27" s="101"/>
      <c r="C27" s="101"/>
      <c r="D27" s="101"/>
      <c r="E27" s="101"/>
    </row>
    <row r="28" spans="1:5" ht="18.75" x14ac:dyDescent="0.25">
      <c r="A28" s="101"/>
      <c r="B28" s="101"/>
      <c r="C28" s="101"/>
      <c r="D28" s="101"/>
      <c r="E28" s="101"/>
    </row>
    <row r="29" spans="1:5" ht="18.75" x14ac:dyDescent="0.25">
      <c r="A29" s="101"/>
      <c r="B29" s="101"/>
      <c r="C29" s="101"/>
      <c r="D29" s="101"/>
      <c r="E29" s="101"/>
    </row>
    <row r="30" spans="1:5" ht="18.75" x14ac:dyDescent="0.25">
      <c r="A30" s="101"/>
      <c r="B30" s="101"/>
      <c r="C30" s="101"/>
      <c r="D30" s="101"/>
      <c r="E30" s="101"/>
    </row>
    <row r="31" spans="1:5" ht="18.75" x14ac:dyDescent="0.25">
      <c r="A31" s="101"/>
      <c r="B31" s="101"/>
      <c r="C31" s="101"/>
      <c r="D31" s="101"/>
      <c r="E31" s="101"/>
    </row>
    <row r="32" spans="1:5" ht="18.75" x14ac:dyDescent="0.25">
      <c r="A32" s="101"/>
      <c r="B32" s="101"/>
      <c r="C32" s="101"/>
      <c r="D32" s="101"/>
      <c r="E32" s="101"/>
    </row>
    <row r="33" spans="1:5" ht="18.75" x14ac:dyDescent="0.25">
      <c r="A33" s="101"/>
      <c r="B33" s="101"/>
      <c r="C33" s="101"/>
      <c r="D33" s="101"/>
      <c r="E33" s="101"/>
    </row>
    <row r="34" spans="1:5" ht="18.75" x14ac:dyDescent="0.25">
      <c r="A34" s="101"/>
      <c r="B34" s="101"/>
      <c r="C34" s="101"/>
      <c r="D34" s="101"/>
      <c r="E34" s="101"/>
    </row>
    <row r="35" spans="1:5" ht="18.75" x14ac:dyDescent="0.25">
      <c r="A35" s="101"/>
      <c r="B35" s="101"/>
      <c r="C35" s="101"/>
      <c r="D35" s="101"/>
      <c r="E35" s="101"/>
    </row>
    <row r="36" spans="1:5" ht="18.75" x14ac:dyDescent="0.25">
      <c r="A36" s="101"/>
      <c r="B36" s="101"/>
      <c r="C36" s="101"/>
      <c r="D36" s="101"/>
      <c r="E36" s="101"/>
    </row>
    <row r="37" spans="1:5" ht="18.75" x14ac:dyDescent="0.25">
      <c r="A37" s="101"/>
      <c r="B37" s="101"/>
      <c r="C37" s="101"/>
      <c r="D37" s="101"/>
      <c r="E37" s="101"/>
    </row>
    <row r="38" spans="1:5" ht="18.75" x14ac:dyDescent="0.25">
      <c r="A38" s="101"/>
      <c r="B38" s="101"/>
      <c r="C38" s="101"/>
      <c r="D38" s="101"/>
      <c r="E38" s="10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76"/>
  <sheetViews>
    <sheetView topLeftCell="A4" zoomScale="160" zoomScaleNormal="160" workbookViewId="0">
      <selection activeCell="A26" sqref="A26"/>
    </sheetView>
  </sheetViews>
  <sheetFormatPr defaultRowHeight="15" x14ac:dyDescent="0.25"/>
  <cols>
    <col min="1" max="1" width="31.140625" customWidth="1"/>
    <col min="3" max="3" width="55.42578125" bestFit="1" customWidth="1"/>
    <col min="6" max="6" width="23.85546875" customWidth="1"/>
    <col min="7" max="7" width="17.140625" customWidth="1"/>
    <col min="8" max="8" width="18.42578125" customWidth="1"/>
    <col min="9" max="9" width="21" customWidth="1"/>
    <col min="10" max="10" width="19.5703125" customWidth="1"/>
    <col min="11" max="11" width="17.42578125" customWidth="1"/>
    <col min="12" max="12" width="11.7109375" customWidth="1"/>
  </cols>
  <sheetData>
    <row r="1" spans="1:11" x14ac:dyDescent="0.25">
      <c r="A1" s="31" t="s">
        <v>143</v>
      </c>
      <c r="B1" s="31" t="s">
        <v>9</v>
      </c>
    </row>
    <row r="2" spans="1:11" x14ac:dyDescent="0.25">
      <c r="A2" s="170" t="s">
        <v>131</v>
      </c>
      <c r="B2" s="32" t="s">
        <v>142</v>
      </c>
      <c r="F2" s="30" t="s">
        <v>168</v>
      </c>
    </row>
    <row r="3" spans="1:11" x14ac:dyDescent="0.25">
      <c r="A3" s="170" t="s">
        <v>132</v>
      </c>
      <c r="B3" s="32" t="s">
        <v>142</v>
      </c>
    </row>
    <row r="4" spans="1:11" x14ac:dyDescent="0.25">
      <c r="A4" s="170" t="s">
        <v>133</v>
      </c>
      <c r="B4" s="32" t="s">
        <v>142</v>
      </c>
      <c r="F4" s="2" t="s">
        <v>164</v>
      </c>
      <c r="G4" s="2">
        <v>0</v>
      </c>
      <c r="H4" s="2">
        <v>30</v>
      </c>
      <c r="I4" s="2">
        <v>45</v>
      </c>
      <c r="J4" s="2">
        <v>60</v>
      </c>
      <c r="K4" s="2">
        <v>90</v>
      </c>
    </row>
    <row r="5" spans="1:11" ht="23.25" x14ac:dyDescent="0.35">
      <c r="A5" s="170" t="s">
        <v>134</v>
      </c>
      <c r="B5" s="32" t="s">
        <v>142</v>
      </c>
      <c r="C5" s="168">
        <f>950/1200*100</f>
        <v>79.166666666666657</v>
      </c>
      <c r="F5" s="2" t="s">
        <v>165</v>
      </c>
      <c r="G5" s="2">
        <f>SIN(G4)</f>
        <v>0</v>
      </c>
      <c r="H5" s="2">
        <f t="shared" ref="H5:K5" si="0">SIN(H4)</f>
        <v>-0.98803162409286183</v>
      </c>
      <c r="I5" s="2">
        <f t="shared" si="0"/>
        <v>0.85090352453411844</v>
      </c>
      <c r="J5" s="2">
        <f t="shared" si="0"/>
        <v>-0.30481062110221668</v>
      </c>
      <c r="K5" s="2">
        <f t="shared" si="0"/>
        <v>0.89399666360055785</v>
      </c>
    </row>
    <row r="6" spans="1:11" x14ac:dyDescent="0.25">
      <c r="A6" s="170" t="s">
        <v>135</v>
      </c>
      <c r="B6" s="32" t="s">
        <v>142</v>
      </c>
      <c r="F6" s="2" t="s">
        <v>166</v>
      </c>
      <c r="G6" s="2">
        <f>COS(G4)</f>
        <v>1</v>
      </c>
      <c r="H6" s="2">
        <f t="shared" ref="H6:K6" si="1">COS(H4)</f>
        <v>0.15425144988758405</v>
      </c>
      <c r="I6" s="2">
        <f t="shared" si="1"/>
        <v>0.52532198881772973</v>
      </c>
      <c r="J6" s="2">
        <f t="shared" si="1"/>
        <v>-0.95241298041515632</v>
      </c>
      <c r="K6" s="2">
        <f t="shared" si="1"/>
        <v>-0.44807361612917013</v>
      </c>
    </row>
    <row r="7" spans="1:11" x14ac:dyDescent="0.25">
      <c r="A7" s="170" t="s">
        <v>89</v>
      </c>
      <c r="B7" s="32" t="s">
        <v>142</v>
      </c>
      <c r="F7" s="2" t="s">
        <v>167</v>
      </c>
      <c r="G7" s="2">
        <f>TAN(G4)</f>
        <v>0</v>
      </c>
      <c r="H7" s="2">
        <f t="shared" ref="H7:K7" si="2">TAN(H4)</f>
        <v>-6.4053311966462756</v>
      </c>
      <c r="I7" s="2">
        <f t="shared" si="2"/>
        <v>1.6197751905438615</v>
      </c>
      <c r="J7" s="2">
        <f t="shared" si="2"/>
        <v>0.32004038937956297</v>
      </c>
      <c r="K7" s="2">
        <f t="shared" si="2"/>
        <v>-1.9952004122082421</v>
      </c>
    </row>
    <row r="8" spans="1:11" x14ac:dyDescent="0.25">
      <c r="A8" s="170" t="s">
        <v>90</v>
      </c>
      <c r="B8" s="32" t="s">
        <v>142</v>
      </c>
      <c r="F8" s="1"/>
      <c r="G8" s="1"/>
      <c r="H8" s="1"/>
      <c r="I8" s="1"/>
      <c r="J8" s="1"/>
      <c r="K8" s="1"/>
    </row>
    <row r="9" spans="1:11" x14ac:dyDescent="0.25">
      <c r="A9" s="170" t="s">
        <v>91</v>
      </c>
      <c r="B9" s="32" t="s">
        <v>142</v>
      </c>
      <c r="F9" s="1"/>
      <c r="G9" s="1"/>
      <c r="H9" s="1"/>
      <c r="I9" s="1"/>
      <c r="J9" s="1"/>
      <c r="K9" s="1"/>
    </row>
    <row r="10" spans="1:11" x14ac:dyDescent="0.25">
      <c r="A10" s="130" t="s">
        <v>136</v>
      </c>
      <c r="B10" s="32" t="s">
        <v>142</v>
      </c>
      <c r="C10">
        <v>22</v>
      </c>
      <c r="F10" s="1"/>
      <c r="G10" s="1"/>
      <c r="H10" s="1"/>
      <c r="I10" s="1"/>
      <c r="J10" s="1"/>
      <c r="K10" s="1"/>
    </row>
    <row r="11" spans="1:11" ht="26.25" x14ac:dyDescent="0.4">
      <c r="A11" s="130" t="s">
        <v>137</v>
      </c>
      <c r="B11" s="32" t="s">
        <v>142</v>
      </c>
      <c r="C11" s="169">
        <v>333</v>
      </c>
      <c r="F11" s="33" t="s">
        <v>114</v>
      </c>
      <c r="G11" s="1"/>
      <c r="H11" s="1"/>
      <c r="I11" s="1"/>
      <c r="J11" s="1"/>
      <c r="K11" s="1"/>
    </row>
    <row r="12" spans="1:11" ht="21" x14ac:dyDescent="0.35">
      <c r="A12" s="130" t="s">
        <v>138</v>
      </c>
      <c r="B12" s="32" t="s">
        <v>142</v>
      </c>
      <c r="F12" t="s">
        <v>511</v>
      </c>
      <c r="G12" s="117">
        <f>LEN(TRIM(F12))</f>
        <v>16</v>
      </c>
    </row>
    <row r="13" spans="1:11" x14ac:dyDescent="0.25">
      <c r="A13" s="170" t="s">
        <v>139</v>
      </c>
      <c r="B13" s="32" t="s">
        <v>142</v>
      </c>
      <c r="C13">
        <v>555</v>
      </c>
      <c r="F13" t="s">
        <v>169</v>
      </c>
      <c r="G13">
        <f t="shared" ref="G13:G14" si="3">LEN(F13)</f>
        <v>15</v>
      </c>
    </row>
    <row r="14" spans="1:11" x14ac:dyDescent="0.25">
      <c r="A14" s="170" t="s">
        <v>140</v>
      </c>
      <c r="B14" s="32" t="s">
        <v>142</v>
      </c>
      <c r="C14">
        <v>6666</v>
      </c>
      <c r="F14" t="s">
        <v>170</v>
      </c>
      <c r="G14">
        <f t="shared" si="3"/>
        <v>25</v>
      </c>
    </row>
    <row r="15" spans="1:11" x14ac:dyDescent="0.25">
      <c r="A15" s="170" t="s">
        <v>141</v>
      </c>
      <c r="B15" s="32" t="s">
        <v>142</v>
      </c>
      <c r="C15">
        <f>MAX(C10:C14)</f>
        <v>6666</v>
      </c>
      <c r="F15" s="34"/>
    </row>
    <row r="16" spans="1:11" x14ac:dyDescent="0.25">
      <c r="A16" s="130" t="s">
        <v>104</v>
      </c>
      <c r="B16" s="32" t="s">
        <v>142</v>
      </c>
      <c r="C16">
        <f>COUNTBLANK(C10:C15)</f>
        <v>1</v>
      </c>
      <c r="F16" s="30" t="s">
        <v>148</v>
      </c>
    </row>
    <row r="17" spans="1:6" x14ac:dyDescent="0.25">
      <c r="A17" s="170" t="s">
        <v>103</v>
      </c>
      <c r="B17" s="32" t="s">
        <v>142</v>
      </c>
      <c r="F17">
        <v>1</v>
      </c>
    </row>
    <row r="18" spans="1:6" x14ac:dyDescent="0.25">
      <c r="A18" s="170" t="s">
        <v>144</v>
      </c>
      <c r="B18" s="32" t="s">
        <v>142</v>
      </c>
      <c r="F18">
        <v>2</v>
      </c>
    </row>
    <row r="19" spans="1:6" x14ac:dyDescent="0.25">
      <c r="A19" s="170" t="s">
        <v>145</v>
      </c>
      <c r="B19" s="32" t="s">
        <v>142</v>
      </c>
      <c r="F19">
        <v>2</v>
      </c>
    </row>
    <row r="20" spans="1:6" x14ac:dyDescent="0.25">
      <c r="A20" s="170" t="s">
        <v>146</v>
      </c>
      <c r="B20" s="32" t="s">
        <v>142</v>
      </c>
      <c r="C20" s="51"/>
      <c r="F20">
        <v>44</v>
      </c>
    </row>
    <row r="21" spans="1:6" x14ac:dyDescent="0.25">
      <c r="A21" s="170" t="s">
        <v>147</v>
      </c>
      <c r="B21" s="32" t="s">
        <v>142</v>
      </c>
      <c r="F21">
        <v>6</v>
      </c>
    </row>
    <row r="22" spans="1:6" x14ac:dyDescent="0.25">
      <c r="A22" s="170" t="s">
        <v>157</v>
      </c>
      <c r="B22" s="32" t="s">
        <v>142</v>
      </c>
      <c r="F22">
        <v>6</v>
      </c>
    </row>
    <row r="23" spans="1:6" x14ac:dyDescent="0.25">
      <c r="A23" s="170" t="s">
        <v>148</v>
      </c>
      <c r="B23" s="32" t="s">
        <v>142</v>
      </c>
      <c r="C23" t="str">
        <f>TEXT(C20,"mm-dd-yy")</f>
        <v>01-00-00</v>
      </c>
    </row>
    <row r="24" spans="1:6" x14ac:dyDescent="0.25">
      <c r="A24" s="170" t="s">
        <v>149</v>
      </c>
      <c r="B24" s="32" t="s">
        <v>142</v>
      </c>
      <c r="F24" s="35">
        <f>LARGE(F17:F22, 3)</f>
        <v>6</v>
      </c>
    </row>
    <row r="25" spans="1:6" x14ac:dyDescent="0.25">
      <c r="A25" s="93" t="s">
        <v>150</v>
      </c>
      <c r="B25" s="32" t="s">
        <v>142</v>
      </c>
      <c r="C25" s="154">
        <f ca="1">NOW()</f>
        <v>45943.666739583336</v>
      </c>
    </row>
    <row r="26" spans="1:6" x14ac:dyDescent="0.25">
      <c r="A26" s="170" t="s">
        <v>151</v>
      </c>
      <c r="B26" s="32" t="s">
        <v>142</v>
      </c>
      <c r="F26" s="30" t="s">
        <v>171</v>
      </c>
    </row>
    <row r="27" spans="1:6" x14ac:dyDescent="0.25">
      <c r="A27" s="93" t="s">
        <v>152</v>
      </c>
      <c r="B27" s="32" t="s">
        <v>142</v>
      </c>
      <c r="C27">
        <f>FACT(4)</f>
        <v>24</v>
      </c>
      <c r="F27">
        <v>2</v>
      </c>
    </row>
    <row r="28" spans="1:6" x14ac:dyDescent="0.25">
      <c r="A28" s="31" t="s">
        <v>153</v>
      </c>
      <c r="B28" s="32" t="s">
        <v>142</v>
      </c>
      <c r="F28">
        <v>1</v>
      </c>
    </row>
    <row r="29" spans="1:6" x14ac:dyDescent="0.25">
      <c r="A29" s="31" t="s">
        <v>154</v>
      </c>
      <c r="B29" s="32" t="s">
        <v>142</v>
      </c>
      <c r="C29">
        <f>SQRT(4)</f>
        <v>2</v>
      </c>
      <c r="F29">
        <v>4</v>
      </c>
    </row>
    <row r="30" spans="1:6" x14ac:dyDescent="0.25">
      <c r="A30" s="31" t="s">
        <v>527</v>
      </c>
      <c r="B30" s="32"/>
      <c r="C30">
        <f ca="1">10+(20-10)*RAND()</f>
        <v>12.614510167502301</v>
      </c>
      <c r="F30">
        <v>2</v>
      </c>
    </row>
    <row r="31" spans="1:6" x14ac:dyDescent="0.25">
      <c r="A31" s="170" t="s">
        <v>155</v>
      </c>
      <c r="B31" s="32" t="s">
        <v>142</v>
      </c>
      <c r="F31">
        <v>2</v>
      </c>
    </row>
    <row r="32" spans="1:6" x14ac:dyDescent="0.25">
      <c r="A32" s="170" t="s">
        <v>484</v>
      </c>
      <c r="B32" s="32"/>
      <c r="C32">
        <f ca="1">RAND()</f>
        <v>0.7061468623950713</v>
      </c>
    </row>
    <row r="33" spans="1:8" x14ac:dyDescent="0.25">
      <c r="A33" s="170" t="s">
        <v>156</v>
      </c>
      <c r="B33" s="32" t="s">
        <v>142</v>
      </c>
      <c r="F33">
        <v>9</v>
      </c>
    </row>
    <row r="34" spans="1:8" x14ac:dyDescent="0.25">
      <c r="A34" s="2" t="s">
        <v>158</v>
      </c>
      <c r="B34" s="32"/>
      <c r="F34" s="35">
        <f>SMALL(F27:F33, 4)</f>
        <v>2</v>
      </c>
    </row>
    <row r="35" spans="1:8" x14ac:dyDescent="0.25">
      <c r="A35" s="2" t="s">
        <v>159</v>
      </c>
      <c r="B35" s="32"/>
      <c r="C35" t="str">
        <f>LOWER("PEARL")</f>
        <v>pearl</v>
      </c>
    </row>
    <row r="36" spans="1:8" x14ac:dyDescent="0.25">
      <c r="A36" s="2" t="s">
        <v>160</v>
      </c>
      <c r="B36" s="32"/>
      <c r="F36" s="30" t="s">
        <v>149</v>
      </c>
    </row>
    <row r="37" spans="1:8" ht="30" x14ac:dyDescent="0.25">
      <c r="A37" s="93" t="s">
        <v>161</v>
      </c>
      <c r="B37" s="32"/>
      <c r="C37" s="34" t="str">
        <f>UPPER("pearl Institute of Management and Information Technology")</f>
        <v>PEARL INSTITUTE OF MANAGEMENT AND INFORMATION TECHNOLOGY</v>
      </c>
      <c r="E37" s="1">
        <v>1</v>
      </c>
      <c r="F37" s="1">
        <f>POWER(E37, 5)</f>
        <v>1</v>
      </c>
      <c r="H37">
        <f>POWER(2,4)</f>
        <v>16</v>
      </c>
    </row>
    <row r="38" spans="1:8" x14ac:dyDescent="0.25">
      <c r="A38" s="31" t="s">
        <v>162</v>
      </c>
      <c r="B38" s="32"/>
      <c r="E38" s="1">
        <v>2</v>
      </c>
      <c r="F38" s="1">
        <f>POWER(E38, 5)</f>
        <v>32</v>
      </c>
    </row>
    <row r="39" spans="1:8" x14ac:dyDescent="0.25">
      <c r="A39" s="170" t="s">
        <v>163</v>
      </c>
      <c r="B39" s="32" t="s">
        <v>142</v>
      </c>
      <c r="C39" t="str">
        <f>PROPER(C37)</f>
        <v>Pearl Institute Of Management And Information Technology</v>
      </c>
      <c r="E39" s="1">
        <v>3</v>
      </c>
      <c r="F39" s="1">
        <f>POWER(E39, 5)</f>
        <v>243</v>
      </c>
    </row>
    <row r="40" spans="1:8" x14ac:dyDescent="0.25">
      <c r="A40" s="171" t="s">
        <v>485</v>
      </c>
      <c r="B40" s="92"/>
      <c r="E40" s="1">
        <v>4</v>
      </c>
      <c r="F40" s="1">
        <f>POWER(E40, 5)</f>
        <v>1024</v>
      </c>
    </row>
    <row r="41" spans="1:8" x14ac:dyDescent="0.25">
      <c r="A41" s="172" t="s">
        <v>512</v>
      </c>
      <c r="B41" s="1"/>
      <c r="C41" t="str">
        <f>UPPER(C37)</f>
        <v>PEARL INSTITUTE OF MANAGEMENT AND INFORMATION TECHNOLOGY</v>
      </c>
      <c r="E41" s="1">
        <v>5</v>
      </c>
      <c r="F41" s="1">
        <f t="shared" ref="F41:F46" si="4">POWER(E41, 5)</f>
        <v>3125</v>
      </c>
    </row>
    <row r="42" spans="1:8" x14ac:dyDescent="0.25">
      <c r="A42" s="1"/>
      <c r="B42" s="1"/>
      <c r="E42" s="1">
        <v>6</v>
      </c>
      <c r="F42" s="1">
        <f t="shared" si="4"/>
        <v>7776</v>
      </c>
    </row>
    <row r="43" spans="1:8" x14ac:dyDescent="0.25">
      <c r="A43" s="1"/>
      <c r="B43" s="1"/>
      <c r="C43" t="str">
        <f>LOWER(C37)</f>
        <v>pearl institute of management and information technology</v>
      </c>
      <c r="E43" s="1">
        <v>7</v>
      </c>
      <c r="F43" s="1">
        <f t="shared" si="4"/>
        <v>16807</v>
      </c>
    </row>
    <row r="44" spans="1:8" x14ac:dyDescent="0.25">
      <c r="A44" s="1"/>
      <c r="B44" s="1"/>
      <c r="E44" s="1">
        <v>8</v>
      </c>
      <c r="F44" s="1">
        <f t="shared" si="4"/>
        <v>32768</v>
      </c>
    </row>
    <row r="45" spans="1:8" x14ac:dyDescent="0.25">
      <c r="A45" s="1"/>
      <c r="B45" s="1"/>
      <c r="E45" s="1">
        <v>9</v>
      </c>
      <c r="F45" s="1">
        <f t="shared" si="4"/>
        <v>59049</v>
      </c>
    </row>
    <row r="46" spans="1:8" x14ac:dyDescent="0.25">
      <c r="A46" s="1"/>
      <c r="B46" s="1"/>
      <c r="E46" s="1">
        <v>10</v>
      </c>
      <c r="F46" s="1">
        <f t="shared" si="4"/>
        <v>100000</v>
      </c>
    </row>
    <row r="47" spans="1:8" x14ac:dyDescent="0.25">
      <c r="A47" s="1"/>
      <c r="B47" s="1"/>
    </row>
    <row r="48" spans="1:8" x14ac:dyDescent="0.25">
      <c r="A48" s="1"/>
      <c r="B48" s="1"/>
      <c r="F48" s="30" t="s">
        <v>172</v>
      </c>
    </row>
    <row r="49" spans="1:12" x14ac:dyDescent="0.25">
      <c r="A49" s="1"/>
      <c r="B49" s="1"/>
      <c r="E49" s="1">
        <v>1</v>
      </c>
      <c r="F49">
        <f>SQRT(E49)</f>
        <v>1</v>
      </c>
    </row>
    <row r="50" spans="1:12" x14ac:dyDescent="0.25">
      <c r="A50" s="93" t="s">
        <v>0</v>
      </c>
      <c r="B50" s="93" t="s">
        <v>383</v>
      </c>
      <c r="E50" s="1">
        <v>4</v>
      </c>
      <c r="F50">
        <f t="shared" ref="F50:F53" si="5">SQRT(E50)</f>
        <v>2</v>
      </c>
      <c r="H50" s="37"/>
      <c r="I50" s="37"/>
    </row>
    <row r="51" spans="1:12" x14ac:dyDescent="0.25">
      <c r="A51" s="2" t="s">
        <v>384</v>
      </c>
      <c r="B51" s="94" t="s">
        <v>393</v>
      </c>
      <c r="E51" s="1">
        <v>9</v>
      </c>
      <c r="F51">
        <f t="shared" si="5"/>
        <v>3</v>
      </c>
      <c r="H51" s="37" t="s">
        <v>180</v>
      </c>
      <c r="I51" s="37" t="s">
        <v>183</v>
      </c>
    </row>
    <row r="52" spans="1:12" x14ac:dyDescent="0.25">
      <c r="A52" s="2" t="s">
        <v>386</v>
      </c>
      <c r="B52" s="94"/>
      <c r="E52" s="1">
        <v>16</v>
      </c>
      <c r="F52">
        <f t="shared" si="5"/>
        <v>4</v>
      </c>
      <c r="H52" s="37" t="s">
        <v>181</v>
      </c>
      <c r="I52" s="37" t="s">
        <v>184</v>
      </c>
    </row>
    <row r="53" spans="1:12" x14ac:dyDescent="0.25">
      <c r="A53" s="2" t="s">
        <v>385</v>
      </c>
      <c r="B53" s="94"/>
      <c r="E53" s="1">
        <v>400</v>
      </c>
      <c r="F53">
        <f t="shared" si="5"/>
        <v>20</v>
      </c>
      <c r="H53" s="37" t="s">
        <v>182</v>
      </c>
      <c r="I53" s="37" t="s">
        <v>113</v>
      </c>
    </row>
    <row r="54" spans="1:12" x14ac:dyDescent="0.25">
      <c r="A54" s="2" t="s">
        <v>387</v>
      </c>
      <c r="B54" s="94"/>
      <c r="H54" s="37" t="s">
        <v>185</v>
      </c>
      <c r="I54" s="37" t="s">
        <v>174</v>
      </c>
    </row>
    <row r="55" spans="1:12" x14ac:dyDescent="0.25">
      <c r="A55" s="2" t="s">
        <v>388</v>
      </c>
      <c r="B55" s="94"/>
      <c r="F55" s="30" t="s">
        <v>188</v>
      </c>
      <c r="H55" s="37" t="s">
        <v>186</v>
      </c>
      <c r="I55" s="37" t="s">
        <v>187</v>
      </c>
    </row>
    <row r="56" spans="1:12" x14ac:dyDescent="0.25">
      <c r="A56" s="2" t="s">
        <v>389</v>
      </c>
      <c r="B56" s="94"/>
      <c r="E56" s="36">
        <v>1</v>
      </c>
      <c r="F56" s="36">
        <f t="shared" ref="F56:F65" si="6">FACT(E56)</f>
        <v>1</v>
      </c>
      <c r="H56" s="37"/>
      <c r="I56" s="37"/>
    </row>
    <row r="57" spans="1:12" x14ac:dyDescent="0.25">
      <c r="A57" s="2" t="s">
        <v>13</v>
      </c>
      <c r="B57" s="94"/>
      <c r="E57" s="36">
        <v>2</v>
      </c>
      <c r="F57" s="36">
        <f t="shared" si="6"/>
        <v>2</v>
      </c>
    </row>
    <row r="58" spans="1:12" x14ac:dyDescent="0.25">
      <c r="A58" s="2" t="s">
        <v>390</v>
      </c>
      <c r="B58" s="94"/>
      <c r="E58" s="36">
        <v>3</v>
      </c>
      <c r="F58" s="36">
        <f>FACT(E58)</f>
        <v>6</v>
      </c>
    </row>
    <row r="59" spans="1:12" x14ac:dyDescent="0.25">
      <c r="A59" s="2" t="s">
        <v>391</v>
      </c>
      <c r="B59" s="94"/>
      <c r="E59" s="36">
        <v>4</v>
      </c>
      <c r="F59" s="36">
        <f t="shared" si="6"/>
        <v>24</v>
      </c>
      <c r="G59" s="38" t="s">
        <v>173</v>
      </c>
      <c r="H59" s="38" t="s">
        <v>112</v>
      </c>
      <c r="I59" s="38" t="s">
        <v>113</v>
      </c>
      <c r="J59" s="38" t="s">
        <v>174</v>
      </c>
      <c r="K59" s="38" t="s">
        <v>175</v>
      </c>
      <c r="L59" s="38" t="s">
        <v>114</v>
      </c>
    </row>
    <row r="60" spans="1:12" x14ac:dyDescent="0.25">
      <c r="A60" s="2" t="s">
        <v>392</v>
      </c>
      <c r="B60" s="94"/>
      <c r="E60" s="36">
        <v>5</v>
      </c>
      <c r="F60" s="36">
        <f t="shared" si="6"/>
        <v>120</v>
      </c>
      <c r="G60" s="36" t="s">
        <v>177</v>
      </c>
      <c r="H60" s="36" t="str">
        <f>PROPER(G60)</f>
        <v xml:space="preserve">        Hamid Shah  </v>
      </c>
      <c r="I60" s="36" t="str">
        <f>LOWER(G60)</f>
        <v xml:space="preserve">        hamid shah  </v>
      </c>
      <c r="J60" s="36" t="str">
        <f>UPPER(G60)</f>
        <v xml:space="preserve">        HAMID SHAH  </v>
      </c>
      <c r="K60" s="36" t="str">
        <f>TRIM(H60)</f>
        <v>Hamid Shah</v>
      </c>
      <c r="L60">
        <f>LEN(K60)</f>
        <v>10</v>
      </c>
    </row>
    <row r="61" spans="1:12" x14ac:dyDescent="0.25">
      <c r="A61" s="2" t="s">
        <v>384</v>
      </c>
      <c r="B61" s="94"/>
      <c r="E61" s="36">
        <v>6</v>
      </c>
      <c r="F61" s="36">
        <f t="shared" si="6"/>
        <v>720</v>
      </c>
      <c r="G61" s="36" t="s">
        <v>176</v>
      </c>
      <c r="H61" s="36" t="str">
        <f t="shared" ref="H61:H63" si="7">PROPER(G61)</f>
        <v xml:space="preserve">Mohsin   Shah   </v>
      </c>
      <c r="I61" s="36" t="str">
        <f t="shared" ref="I61:I63" si="8">LOWER(G61)</f>
        <v xml:space="preserve">mohsin   shah   </v>
      </c>
      <c r="J61" s="36" t="str">
        <f t="shared" ref="J61:J63" si="9">UPPER(G61)</f>
        <v xml:space="preserve">MOHSIN   SHAH   </v>
      </c>
      <c r="K61" s="36" t="str">
        <f t="shared" ref="K61:K63" si="10">TRIM(H61)</f>
        <v>Mohsin Shah</v>
      </c>
      <c r="L61">
        <f t="shared" ref="L61:L63" si="11">LEN(K61)</f>
        <v>11</v>
      </c>
    </row>
    <row r="62" spans="1:12" x14ac:dyDescent="0.25">
      <c r="A62" s="2" t="s">
        <v>386</v>
      </c>
      <c r="B62" s="94"/>
      <c r="E62" s="36">
        <v>7</v>
      </c>
      <c r="F62" s="36">
        <f t="shared" si="6"/>
        <v>5040</v>
      </c>
      <c r="G62" s="36" t="s">
        <v>178</v>
      </c>
      <c r="H62" s="36" t="str">
        <f t="shared" si="7"/>
        <v xml:space="preserve">Ahmed Khan  </v>
      </c>
      <c r="I62" s="36" t="str">
        <f t="shared" si="8"/>
        <v xml:space="preserve">ahmed khan  </v>
      </c>
      <c r="J62" s="36" t="str">
        <f t="shared" si="9"/>
        <v xml:space="preserve">AHMED KHAN  </v>
      </c>
      <c r="K62" s="36" t="str">
        <f t="shared" si="10"/>
        <v>Ahmed Khan</v>
      </c>
      <c r="L62">
        <f t="shared" si="11"/>
        <v>10</v>
      </c>
    </row>
    <row r="63" spans="1:12" x14ac:dyDescent="0.25">
      <c r="A63" s="2" t="s">
        <v>385</v>
      </c>
      <c r="B63" s="94"/>
      <c r="E63" s="36">
        <v>8</v>
      </c>
      <c r="F63" s="36">
        <f t="shared" si="6"/>
        <v>40320</v>
      </c>
      <c r="G63" s="36" t="s">
        <v>179</v>
      </c>
      <c r="H63" s="36" t="str">
        <f t="shared" si="7"/>
        <v>Muhammad     Shah</v>
      </c>
      <c r="I63" s="36" t="str">
        <f t="shared" si="8"/>
        <v>muhammad     shah</v>
      </c>
      <c r="J63" s="36" t="str">
        <f t="shared" si="9"/>
        <v>MUHAMMAD     SHAH</v>
      </c>
      <c r="K63" s="36" t="str">
        <f t="shared" si="10"/>
        <v>Muhammad Shah</v>
      </c>
      <c r="L63">
        <f t="shared" si="11"/>
        <v>13</v>
      </c>
    </row>
    <row r="64" spans="1:12" x14ac:dyDescent="0.25">
      <c r="A64" s="2" t="s">
        <v>387</v>
      </c>
      <c r="B64" s="94"/>
      <c r="E64" s="36">
        <v>9</v>
      </c>
      <c r="F64" s="36">
        <f t="shared" si="6"/>
        <v>362880</v>
      </c>
      <c r="G64" s="36"/>
      <c r="H64" s="36"/>
      <c r="I64" s="36"/>
      <c r="J64" s="36"/>
      <c r="K64" s="36"/>
    </row>
    <row r="65" spans="1:11" x14ac:dyDescent="0.25">
      <c r="A65" s="2" t="s">
        <v>388</v>
      </c>
      <c r="B65" s="94"/>
      <c r="E65" s="36">
        <v>10</v>
      </c>
      <c r="F65" s="36">
        <f t="shared" si="6"/>
        <v>3628800</v>
      </c>
      <c r="G65" s="36"/>
      <c r="H65" s="36"/>
      <c r="I65" s="36"/>
      <c r="J65" s="36"/>
      <c r="K65" s="36"/>
    </row>
    <row r="66" spans="1:11" x14ac:dyDescent="0.25">
      <c r="A66" s="2" t="s">
        <v>389</v>
      </c>
      <c r="B66" s="94"/>
      <c r="E66" s="36">
        <v>11</v>
      </c>
      <c r="F66" s="36">
        <f t="shared" ref="F66:F72" si="12">FACT(E66)</f>
        <v>39916800</v>
      </c>
      <c r="G66" s="36"/>
      <c r="H66" s="36"/>
      <c r="I66" s="36"/>
      <c r="J66" s="36"/>
      <c r="K66" s="36"/>
    </row>
    <row r="67" spans="1:11" x14ac:dyDescent="0.25">
      <c r="A67" s="1"/>
      <c r="B67" s="1"/>
      <c r="E67" s="36">
        <v>12</v>
      </c>
      <c r="F67" s="36">
        <f t="shared" si="12"/>
        <v>479001600</v>
      </c>
    </row>
    <row r="68" spans="1:11" x14ac:dyDescent="0.25">
      <c r="A68" s="1"/>
      <c r="B68" s="1"/>
      <c r="E68" s="36">
        <v>13</v>
      </c>
      <c r="F68" s="36">
        <f t="shared" si="12"/>
        <v>6227020800</v>
      </c>
    </row>
    <row r="69" spans="1:11" x14ac:dyDescent="0.25">
      <c r="A69" s="1"/>
      <c r="B69" s="1"/>
      <c r="E69" s="36">
        <v>14</v>
      </c>
      <c r="F69" s="36">
        <f t="shared" si="12"/>
        <v>87178291200</v>
      </c>
    </row>
    <row r="70" spans="1:11" x14ac:dyDescent="0.25">
      <c r="A70" s="1"/>
      <c r="B70" s="1"/>
      <c r="E70" s="36">
        <v>15</v>
      </c>
      <c r="F70" s="36">
        <f t="shared" si="12"/>
        <v>1307674368000</v>
      </c>
    </row>
    <row r="71" spans="1:11" x14ac:dyDescent="0.25">
      <c r="A71" s="1"/>
      <c r="B71" s="1"/>
      <c r="E71" s="36">
        <v>16</v>
      </c>
      <c r="F71" s="36">
        <f t="shared" si="12"/>
        <v>20922789888000</v>
      </c>
    </row>
    <row r="72" spans="1:11" x14ac:dyDescent="0.25">
      <c r="A72" s="1"/>
      <c r="B72" s="1"/>
      <c r="E72" s="36">
        <v>17</v>
      </c>
      <c r="F72" s="36">
        <f t="shared" si="12"/>
        <v>355687428096000</v>
      </c>
    </row>
    <row r="73" spans="1:11" x14ac:dyDescent="0.25">
      <c r="A73" s="1"/>
      <c r="B73" s="1"/>
    </row>
    <row r="74" spans="1:11" x14ac:dyDescent="0.25">
      <c r="A74" s="1"/>
      <c r="B74" s="1"/>
    </row>
    <row r="75" spans="1:11" x14ac:dyDescent="0.25">
      <c r="A75" s="1"/>
      <c r="B75" s="1"/>
    </row>
    <row r="76" spans="1:11" x14ac:dyDescent="0.25">
      <c r="A76" s="1"/>
      <c r="B76" s="1"/>
    </row>
  </sheetData>
  <sheetProtection formatCells="0" formatColumns="0" formatRows="0" insertColumns="0" insertRows="0" insertHyperlinks="0" deleteColumns="0" deleteRows="0" sort="0" autoFilter="0" pivotTables="0"/>
  <customSheetViews>
    <customSheetView guid="{D6BA57A5-118E-4B58-A351-7E1C36DA5B56}">
      <selection activeCell="D18" sqref="D18"/>
      <pageMargins left="0.7" right="0.7" top="0.75" bottom="0.75" header="0.3" footer="0.3"/>
      <pageSetup orientation="portrait" r:id="rId1"/>
    </customSheetView>
    <customSheetView guid="{05B8E57A-BB97-41F0-B6FB-606E79293C77}">
      <selection activeCell="D18" sqref="D18"/>
      <pageMargins left="0.7" right="0.7" top="0.75" bottom="0.75" header="0.3" footer="0.3"/>
      <pageSetup orientation="portrait" r:id="rId2"/>
    </customSheetView>
    <customSheetView guid="{3C013989-8552-4FE1-BB7E-C88994E2D13D}">
      <selection activeCell="D18" sqref="D18"/>
      <pageMargins left="0.7" right="0.7" top="0.75" bottom="0.75" header="0.3" footer="0.3"/>
      <pageSetup orientation="portrait" r:id="rId3"/>
    </customSheetView>
    <customSheetView guid="{75B547B5-834C-4784-8C45-4C35B93C736F}">
      <selection activeCell="D18" sqref="D18"/>
      <pageMargins left="0.7" right="0.7" top="0.75" bottom="0.75" header="0.3" footer="0.3"/>
      <pageSetup orientation="portrait" r:id="rId4"/>
    </customSheetView>
  </customSheetView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U263"/>
  <sheetViews>
    <sheetView showRuler="0" showWhiteSpace="0" topLeftCell="A4" zoomScaleNormal="100" zoomScalePageLayoutView="55" workbookViewId="0">
      <selection activeCell="M7" sqref="M7"/>
    </sheetView>
  </sheetViews>
  <sheetFormatPr defaultRowHeight="15" x14ac:dyDescent="0.25"/>
  <cols>
    <col min="2" max="2" width="12.7109375" bestFit="1" customWidth="1"/>
    <col min="3" max="3" width="7.5703125" bestFit="1" customWidth="1"/>
    <col min="4" max="4" width="7.140625" customWidth="1"/>
    <col min="5" max="5" width="6.85546875" customWidth="1"/>
    <col min="6" max="6" width="7.5703125" bestFit="1" customWidth="1"/>
    <col min="7" max="7" width="7.42578125" customWidth="1"/>
    <col min="8" max="8" width="16.7109375" bestFit="1" customWidth="1"/>
    <col min="9" max="9" width="16.5703125" bestFit="1" customWidth="1"/>
    <col min="10" max="11" width="6.42578125" bestFit="1" customWidth="1"/>
    <col min="12" max="12" width="8.28515625" bestFit="1" customWidth="1"/>
    <col min="13" max="13" width="16.7109375" bestFit="1" customWidth="1"/>
    <col min="14" max="14" width="24.28515625" customWidth="1"/>
    <col min="17" max="18" width="9.28515625" bestFit="1" customWidth="1"/>
  </cols>
  <sheetData>
    <row r="1" spans="2:21" x14ac:dyDescent="0.25">
      <c r="B1" s="223" t="s">
        <v>330</v>
      </c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5"/>
    </row>
    <row r="2" spans="2:21" x14ac:dyDescent="0.25">
      <c r="B2" s="226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</row>
    <row r="3" spans="2:21" ht="54" customHeight="1" x14ac:dyDescent="0.25">
      <c r="B3" s="226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8"/>
    </row>
    <row r="4" spans="2:21" x14ac:dyDescent="0.25">
      <c r="B4" s="226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8"/>
    </row>
    <row r="5" spans="2:21" x14ac:dyDescent="0.25">
      <c r="B5" s="229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1"/>
    </row>
    <row r="6" spans="2:21" x14ac:dyDescent="0.25"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95</v>
      </c>
      <c r="N6" s="118" t="s">
        <v>9</v>
      </c>
      <c r="O6" s="118" t="s">
        <v>403</v>
      </c>
      <c r="P6" s="119"/>
    </row>
    <row r="7" spans="2:21" ht="21" x14ac:dyDescent="0.35">
      <c r="B7" s="4" t="s">
        <v>19</v>
      </c>
      <c r="C7" s="2">
        <v>22</v>
      </c>
      <c r="D7" s="2">
        <f t="shared" ref="D7:G18" ca="1" si="0">RANDBETWEEN(10,99)</f>
        <v>31</v>
      </c>
      <c r="E7" s="2">
        <f t="shared" ca="1" si="0"/>
        <v>86</v>
      </c>
      <c r="F7" s="2">
        <f t="shared" ca="1" si="0"/>
        <v>11</v>
      </c>
      <c r="G7" s="2">
        <f t="shared" ca="1" si="0"/>
        <v>15</v>
      </c>
      <c r="H7" s="43">
        <f t="shared" ref="H7:H18" ca="1" si="1">SUM(C7:G7)</f>
        <v>165</v>
      </c>
      <c r="I7" s="67">
        <f t="shared" ref="I7:I18" ca="1" si="2">H7*100/425</f>
        <v>38.823529411764703</v>
      </c>
      <c r="J7" s="43" t="str">
        <f t="shared" ref="J7:J18" ca="1" si="3">IF(I7&gt;=80, "A-1", IF(I7&gt;=70, "A", IF(I7&gt;=65, "B", IF(I7&gt;=45, "C", "---"))))</f>
        <v>---</v>
      </c>
      <c r="K7" s="43" t="str">
        <f t="shared" ref="K7:K18" si="4">IF(C7&lt;25, "Fail", IF(D7&lt;25, "Fail", IF(E7&lt;33, "Fail", IF(F7&lt;33, "Fail", IF(G7&lt;25, "Fail", "Pass")))))</f>
        <v>Fail</v>
      </c>
      <c r="L7" s="2"/>
      <c r="M7" s="2" t="str">
        <f t="shared" ref="M7:M18" ca="1" si="5">IF(J7="A-1", "Excelent Progress", "---")</f>
        <v>---</v>
      </c>
      <c r="N7" s="99" t="str">
        <f>IF(K7="Pass",CHAR(252),CHAR(251))</f>
        <v>û</v>
      </c>
      <c r="O7" s="117" t="str">
        <f>IF(COUNTIF(B7:B18,B7:B18)&gt;1,"✖️","✔️")</f>
        <v>✔️</v>
      </c>
      <c r="P7" s="117"/>
      <c r="Q7" s="222" t="s">
        <v>23</v>
      </c>
      <c r="R7" s="222"/>
      <c r="S7" s="2"/>
      <c r="T7" s="2"/>
      <c r="U7" s="5" t="s">
        <v>24</v>
      </c>
    </row>
    <row r="8" spans="2:21" ht="21" x14ac:dyDescent="0.35">
      <c r="B8" s="4" t="s">
        <v>18</v>
      </c>
      <c r="C8" s="2">
        <f t="shared" ref="C8:C18" ca="1" si="6">RANDBETWEEN(10,99)</f>
        <v>20</v>
      </c>
      <c r="D8" s="2">
        <f t="shared" ca="1" si="0"/>
        <v>15</v>
      </c>
      <c r="E8" s="2">
        <f t="shared" ca="1" si="0"/>
        <v>68</v>
      </c>
      <c r="F8" s="2">
        <f t="shared" ca="1" si="0"/>
        <v>81</v>
      </c>
      <c r="G8" s="2">
        <f t="shared" ca="1" si="0"/>
        <v>91</v>
      </c>
      <c r="H8" s="43">
        <f t="shared" ca="1" si="1"/>
        <v>275</v>
      </c>
      <c r="I8" s="67">
        <f t="shared" ca="1" si="2"/>
        <v>64.705882352941174</v>
      </c>
      <c r="J8" s="43" t="str">
        <f t="shared" ca="1" si="3"/>
        <v>C</v>
      </c>
      <c r="K8" s="43" t="str">
        <f t="shared" ca="1" si="4"/>
        <v>Fail</v>
      </c>
      <c r="L8" s="2"/>
      <c r="M8" s="2" t="str">
        <f t="shared" ca="1" si="5"/>
        <v>---</v>
      </c>
      <c r="N8" s="99" t="str">
        <f t="shared" ref="N8:N18" ca="1" si="7">IF(K8="Pass",CHAR(252),CHAR(251))</f>
        <v>û</v>
      </c>
      <c r="O8" s="117" t="str">
        <f t="shared" ref="O8:O18" si="8">IF(COUNTIF(B8:B19,B8:B19)&gt;1,"✖️","✔️")</f>
        <v>✔️</v>
      </c>
      <c r="P8" s="117"/>
      <c r="Q8" s="2">
        <v>1</v>
      </c>
      <c r="R8" s="2">
        <v>2</v>
      </c>
      <c r="S8" s="2">
        <v>3</v>
      </c>
      <c r="T8" s="2">
        <v>4</v>
      </c>
      <c r="U8" s="9">
        <f>Q8+R8+S8+T8</f>
        <v>10</v>
      </c>
    </row>
    <row r="9" spans="2:21" ht="21" x14ac:dyDescent="0.35">
      <c r="B9" s="4" t="s">
        <v>17</v>
      </c>
      <c r="C9" s="2">
        <f t="shared" ca="1" si="6"/>
        <v>26</v>
      </c>
      <c r="D9" s="2">
        <f t="shared" ca="1" si="0"/>
        <v>41</v>
      </c>
      <c r="E9" s="2">
        <f t="shared" ca="1" si="0"/>
        <v>24</v>
      </c>
      <c r="F9" s="2">
        <f t="shared" ca="1" si="0"/>
        <v>48</v>
      </c>
      <c r="G9" s="2">
        <f t="shared" ca="1" si="0"/>
        <v>49</v>
      </c>
      <c r="H9" s="43">
        <f t="shared" ca="1" si="1"/>
        <v>188</v>
      </c>
      <c r="I9" s="67">
        <f t="shared" ca="1" si="2"/>
        <v>44.235294117647058</v>
      </c>
      <c r="J9" s="43" t="str">
        <f t="shared" ca="1" si="3"/>
        <v>---</v>
      </c>
      <c r="K9" s="43" t="str">
        <f t="shared" ca="1" si="4"/>
        <v>Fail</v>
      </c>
      <c r="L9" s="2"/>
      <c r="M9" s="2" t="str">
        <f t="shared" ca="1" si="5"/>
        <v>---</v>
      </c>
      <c r="N9" s="99" t="str">
        <f t="shared" ca="1" si="7"/>
        <v>û</v>
      </c>
      <c r="O9" s="117" t="str">
        <f t="shared" si="8"/>
        <v>✔️</v>
      </c>
      <c r="P9" s="117"/>
      <c r="Q9" s="1"/>
      <c r="R9" s="1"/>
      <c r="S9" s="1"/>
      <c r="T9" s="1"/>
      <c r="U9" s="1"/>
    </row>
    <row r="10" spans="2:21" ht="21" x14ac:dyDescent="0.35">
      <c r="B10" s="4" t="s">
        <v>14</v>
      </c>
      <c r="C10" s="2">
        <f t="shared" ca="1" si="6"/>
        <v>87</v>
      </c>
      <c r="D10" s="2">
        <f t="shared" ca="1" si="0"/>
        <v>27</v>
      </c>
      <c r="E10" s="2">
        <v>22</v>
      </c>
      <c r="F10" s="2">
        <v>22</v>
      </c>
      <c r="G10" s="2">
        <f t="shared" ca="1" si="0"/>
        <v>65</v>
      </c>
      <c r="H10" s="43">
        <f t="shared" ca="1" si="1"/>
        <v>223</v>
      </c>
      <c r="I10" s="67">
        <f t="shared" ca="1" si="2"/>
        <v>52.470588235294116</v>
      </c>
      <c r="J10" s="43" t="str">
        <f t="shared" ca="1" si="3"/>
        <v>C</v>
      </c>
      <c r="K10" s="43" t="str">
        <f t="shared" ca="1" si="4"/>
        <v>Fail</v>
      </c>
      <c r="L10" s="2" t="s">
        <v>332</v>
      </c>
      <c r="M10" s="2" t="str">
        <f t="shared" ca="1" si="5"/>
        <v>---</v>
      </c>
      <c r="N10" s="99" t="str">
        <f t="shared" ca="1" si="7"/>
        <v>û</v>
      </c>
      <c r="O10" s="117" t="str">
        <f t="shared" si="8"/>
        <v>✔️</v>
      </c>
      <c r="P10" s="117"/>
      <c r="Q10" s="1"/>
      <c r="R10" s="1"/>
      <c r="S10" s="1"/>
      <c r="T10" s="1"/>
      <c r="U10" s="1"/>
    </row>
    <row r="11" spans="2:21" ht="21" x14ac:dyDescent="0.35">
      <c r="B11" s="4" t="s">
        <v>59</v>
      </c>
      <c r="C11" s="2">
        <f t="shared" ca="1" si="6"/>
        <v>58</v>
      </c>
      <c r="D11" s="2">
        <f t="shared" ca="1" si="0"/>
        <v>10</v>
      </c>
      <c r="E11" s="2">
        <f t="shared" ca="1" si="0"/>
        <v>89</v>
      </c>
      <c r="F11" s="2">
        <f t="shared" ca="1" si="0"/>
        <v>76</v>
      </c>
      <c r="G11" s="2">
        <f t="shared" ca="1" si="0"/>
        <v>29</v>
      </c>
      <c r="H11" s="43">
        <f t="shared" ca="1" si="1"/>
        <v>262</v>
      </c>
      <c r="I11" s="67">
        <f t="shared" ca="1" si="2"/>
        <v>61.647058823529413</v>
      </c>
      <c r="J11" s="43" t="str">
        <f t="shared" ca="1" si="3"/>
        <v>C</v>
      </c>
      <c r="K11" s="43" t="str">
        <f t="shared" ca="1" si="4"/>
        <v>Fail</v>
      </c>
      <c r="L11" s="2"/>
      <c r="M11" s="2" t="str">
        <f t="shared" ca="1" si="5"/>
        <v>---</v>
      </c>
      <c r="N11" s="99" t="str">
        <f t="shared" ca="1" si="7"/>
        <v>û</v>
      </c>
      <c r="O11" s="117" t="str">
        <f t="shared" si="8"/>
        <v>✔️</v>
      </c>
      <c r="P11" s="117"/>
      <c r="Q11" s="222" t="s">
        <v>25</v>
      </c>
      <c r="R11" s="222"/>
      <c r="S11" s="2"/>
      <c r="T11" s="2"/>
      <c r="U11" s="5" t="s">
        <v>24</v>
      </c>
    </row>
    <row r="12" spans="2:21" ht="21" x14ac:dyDescent="0.35">
      <c r="B12" s="4" t="s">
        <v>390</v>
      </c>
      <c r="C12" s="2">
        <f t="shared" ca="1" si="6"/>
        <v>12</v>
      </c>
      <c r="D12" s="2">
        <f t="shared" ca="1" si="0"/>
        <v>20</v>
      </c>
      <c r="E12" s="2">
        <f t="shared" ca="1" si="0"/>
        <v>84</v>
      </c>
      <c r="F12" s="2">
        <f t="shared" ca="1" si="0"/>
        <v>97</v>
      </c>
      <c r="G12" s="2">
        <f t="shared" ca="1" si="0"/>
        <v>54</v>
      </c>
      <c r="H12" s="43">
        <f t="shared" ca="1" si="1"/>
        <v>267</v>
      </c>
      <c r="I12" s="67">
        <f t="shared" ca="1" si="2"/>
        <v>62.823529411764703</v>
      </c>
      <c r="J12" s="43" t="str">
        <f t="shared" ca="1" si="3"/>
        <v>C</v>
      </c>
      <c r="K12" s="43" t="str">
        <f t="shared" ca="1" si="4"/>
        <v>Fail</v>
      </c>
      <c r="L12" s="2"/>
      <c r="M12" s="2" t="str">
        <f t="shared" ca="1" si="5"/>
        <v>---</v>
      </c>
      <c r="N12" s="99" t="str">
        <f t="shared" ca="1" si="7"/>
        <v>û</v>
      </c>
      <c r="O12" s="117" t="str">
        <f t="shared" si="8"/>
        <v>✔️</v>
      </c>
      <c r="P12" s="117"/>
      <c r="Q12" s="2">
        <v>1</v>
      </c>
      <c r="R12" s="2">
        <v>2</v>
      </c>
      <c r="S12" s="2">
        <v>3</v>
      </c>
      <c r="T12" s="2">
        <v>4</v>
      </c>
      <c r="U12" s="9">
        <f>SUM(Q12:T12)</f>
        <v>10</v>
      </c>
    </row>
    <row r="13" spans="2:21" ht="21" x14ac:dyDescent="0.35">
      <c r="B13" s="4" t="s">
        <v>504</v>
      </c>
      <c r="C13" s="2">
        <f t="shared" ca="1" si="6"/>
        <v>27</v>
      </c>
      <c r="D13" s="2">
        <f t="shared" ca="1" si="0"/>
        <v>89</v>
      </c>
      <c r="E13" s="2">
        <f t="shared" ca="1" si="0"/>
        <v>74</v>
      </c>
      <c r="F13" s="2">
        <f t="shared" ca="1" si="0"/>
        <v>51</v>
      </c>
      <c r="G13" s="2">
        <f t="shared" ca="1" si="0"/>
        <v>27</v>
      </c>
      <c r="H13" s="43">
        <f t="shared" ca="1" si="1"/>
        <v>268</v>
      </c>
      <c r="I13" s="67">
        <f t="shared" ca="1" si="2"/>
        <v>63.058823529411768</v>
      </c>
      <c r="J13" s="43" t="str">
        <f t="shared" ca="1" si="3"/>
        <v>C</v>
      </c>
      <c r="K13" s="43" t="str">
        <f t="shared" ca="1" si="4"/>
        <v>Pass</v>
      </c>
      <c r="L13" s="2"/>
      <c r="M13" s="2" t="str">
        <f t="shared" ca="1" si="5"/>
        <v>---</v>
      </c>
      <c r="N13" s="99" t="str">
        <f t="shared" ca="1" si="7"/>
        <v>ü</v>
      </c>
      <c r="O13" s="117" t="str">
        <f t="shared" si="8"/>
        <v>✔️</v>
      </c>
      <c r="P13" s="117"/>
    </row>
    <row r="14" spans="2:21" ht="21" x14ac:dyDescent="0.35">
      <c r="B14" s="4" t="s">
        <v>505</v>
      </c>
      <c r="C14" s="2">
        <f t="shared" ca="1" si="6"/>
        <v>41</v>
      </c>
      <c r="D14" s="2">
        <f t="shared" ca="1" si="0"/>
        <v>11</v>
      </c>
      <c r="E14" s="2">
        <f t="shared" ca="1" si="0"/>
        <v>93</v>
      </c>
      <c r="F14" s="2">
        <f t="shared" ca="1" si="0"/>
        <v>15</v>
      </c>
      <c r="G14" s="2">
        <f t="shared" ca="1" si="0"/>
        <v>74</v>
      </c>
      <c r="H14" s="43">
        <f t="shared" ca="1" si="1"/>
        <v>234</v>
      </c>
      <c r="I14" s="67">
        <f t="shared" ca="1" si="2"/>
        <v>55.058823529411768</v>
      </c>
      <c r="J14" s="43" t="str">
        <f t="shared" ca="1" si="3"/>
        <v>C</v>
      </c>
      <c r="K14" s="43" t="str">
        <f t="shared" ca="1" si="4"/>
        <v>Fail</v>
      </c>
      <c r="L14" s="2"/>
      <c r="M14" s="2" t="str">
        <f t="shared" ca="1" si="5"/>
        <v>---</v>
      </c>
      <c r="N14" s="99" t="str">
        <f t="shared" ca="1" si="7"/>
        <v>û</v>
      </c>
      <c r="O14" s="117" t="str">
        <f t="shared" si="8"/>
        <v>✔️</v>
      </c>
      <c r="P14" s="117"/>
    </row>
    <row r="15" spans="2:21" ht="21" x14ac:dyDescent="0.35">
      <c r="B15" s="4" t="s">
        <v>506</v>
      </c>
      <c r="C15" s="2">
        <f t="shared" ca="1" si="6"/>
        <v>37</v>
      </c>
      <c r="D15" s="2">
        <f t="shared" ca="1" si="0"/>
        <v>72</v>
      </c>
      <c r="E15" s="2">
        <f t="shared" ca="1" si="0"/>
        <v>19</v>
      </c>
      <c r="F15" s="2">
        <f t="shared" ca="1" si="0"/>
        <v>91</v>
      </c>
      <c r="G15" s="2">
        <f t="shared" ca="1" si="0"/>
        <v>29</v>
      </c>
      <c r="H15" s="43">
        <f t="shared" ca="1" si="1"/>
        <v>248</v>
      </c>
      <c r="I15" s="67">
        <f t="shared" ca="1" si="2"/>
        <v>58.352941176470587</v>
      </c>
      <c r="J15" s="43" t="str">
        <f t="shared" ca="1" si="3"/>
        <v>C</v>
      </c>
      <c r="K15" s="43" t="str">
        <f t="shared" ca="1" si="4"/>
        <v>Fail</v>
      </c>
      <c r="L15" s="2" t="s">
        <v>333</v>
      </c>
      <c r="M15" s="2" t="str">
        <f t="shared" ca="1" si="5"/>
        <v>---</v>
      </c>
      <c r="N15" s="99" t="str">
        <f t="shared" ca="1" si="7"/>
        <v>û</v>
      </c>
      <c r="O15" s="117" t="str">
        <f t="shared" si="8"/>
        <v>✔️</v>
      </c>
      <c r="P15" s="117"/>
    </row>
    <row r="16" spans="2:21" ht="21" x14ac:dyDescent="0.35">
      <c r="B16" s="4" t="s">
        <v>507</v>
      </c>
      <c r="C16" s="2">
        <f t="shared" ca="1" si="6"/>
        <v>26</v>
      </c>
      <c r="D16" s="2">
        <f t="shared" ca="1" si="0"/>
        <v>81</v>
      </c>
      <c r="E16" s="2">
        <f t="shared" ca="1" si="0"/>
        <v>26</v>
      </c>
      <c r="F16" s="2">
        <f t="shared" ca="1" si="0"/>
        <v>83</v>
      </c>
      <c r="G16" s="2">
        <f t="shared" ca="1" si="0"/>
        <v>69</v>
      </c>
      <c r="H16" s="43">
        <f t="shared" ca="1" si="1"/>
        <v>285</v>
      </c>
      <c r="I16" s="67">
        <f t="shared" ca="1" si="2"/>
        <v>67.058823529411768</v>
      </c>
      <c r="J16" s="43" t="str">
        <f t="shared" ca="1" si="3"/>
        <v>B</v>
      </c>
      <c r="K16" s="43" t="str">
        <f t="shared" ca="1" si="4"/>
        <v>Fail</v>
      </c>
      <c r="L16" s="2" t="s">
        <v>331</v>
      </c>
      <c r="M16" s="2" t="str">
        <f t="shared" ca="1" si="5"/>
        <v>---</v>
      </c>
      <c r="N16" s="99" t="str">
        <f t="shared" ca="1" si="7"/>
        <v>û</v>
      </c>
      <c r="O16" s="117" t="str">
        <f t="shared" si="8"/>
        <v>✔️</v>
      </c>
      <c r="P16" s="117"/>
    </row>
    <row r="17" spans="2:16" ht="21" x14ac:dyDescent="0.35">
      <c r="B17" s="4" t="s">
        <v>508</v>
      </c>
      <c r="C17" s="2">
        <f t="shared" ca="1" si="6"/>
        <v>53</v>
      </c>
      <c r="D17" s="2">
        <f t="shared" ca="1" si="0"/>
        <v>94</v>
      </c>
      <c r="E17" s="2">
        <f t="shared" ca="1" si="0"/>
        <v>55</v>
      </c>
      <c r="F17" s="2">
        <f t="shared" ca="1" si="0"/>
        <v>52</v>
      </c>
      <c r="G17" s="2">
        <f t="shared" ca="1" si="0"/>
        <v>16</v>
      </c>
      <c r="H17" s="43">
        <f t="shared" ca="1" si="1"/>
        <v>270</v>
      </c>
      <c r="I17" s="67">
        <f t="shared" ca="1" si="2"/>
        <v>63.529411764705884</v>
      </c>
      <c r="J17" s="43" t="str">
        <f t="shared" ca="1" si="3"/>
        <v>C</v>
      </c>
      <c r="K17" s="43" t="str">
        <f t="shared" ca="1" si="4"/>
        <v>Fail</v>
      </c>
      <c r="L17" s="2"/>
      <c r="M17" s="2" t="str">
        <f t="shared" ca="1" si="5"/>
        <v>---</v>
      </c>
      <c r="N17" s="99" t="str">
        <f t="shared" ca="1" si="7"/>
        <v>û</v>
      </c>
      <c r="O17" s="117" t="str">
        <f t="shared" si="8"/>
        <v>✔️</v>
      </c>
      <c r="P17" s="117"/>
    </row>
    <row r="18" spans="2:16" ht="21" x14ac:dyDescent="0.35">
      <c r="B18" s="4" t="s">
        <v>509</v>
      </c>
      <c r="C18" s="2">
        <f t="shared" ca="1" si="6"/>
        <v>66</v>
      </c>
      <c r="D18" s="2">
        <f t="shared" ca="1" si="0"/>
        <v>38</v>
      </c>
      <c r="E18" s="2">
        <f t="shared" ca="1" si="0"/>
        <v>17</v>
      </c>
      <c r="F18" s="2">
        <f t="shared" ca="1" si="0"/>
        <v>47</v>
      </c>
      <c r="G18" s="2">
        <f t="shared" ca="1" si="0"/>
        <v>52</v>
      </c>
      <c r="H18" s="43">
        <f t="shared" ca="1" si="1"/>
        <v>220</v>
      </c>
      <c r="I18" s="67">
        <f t="shared" ca="1" si="2"/>
        <v>51.764705882352942</v>
      </c>
      <c r="J18" s="43" t="str">
        <f t="shared" ca="1" si="3"/>
        <v>C</v>
      </c>
      <c r="K18" s="43" t="str">
        <f t="shared" ca="1" si="4"/>
        <v>Fail</v>
      </c>
      <c r="L18" s="2"/>
      <c r="M18" s="2" t="str">
        <f t="shared" ca="1" si="5"/>
        <v>---</v>
      </c>
      <c r="N18" s="99" t="str">
        <f t="shared" ca="1" si="7"/>
        <v>û</v>
      </c>
      <c r="O18" s="117" t="str">
        <f t="shared" si="8"/>
        <v>✔️</v>
      </c>
      <c r="P18" s="117"/>
    </row>
    <row r="19" spans="2:16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6" x14ac:dyDescent="0.25">
      <c r="N20" t="s">
        <v>396</v>
      </c>
    </row>
    <row r="22" spans="2:16" ht="15.75" thickBot="1" x14ac:dyDescent="0.3"/>
    <row r="23" spans="2:16" x14ac:dyDescent="0.25">
      <c r="B23" s="47" t="s">
        <v>0</v>
      </c>
      <c r="C23" s="48" t="s">
        <v>218</v>
      </c>
      <c r="D23" s="48" t="s">
        <v>219</v>
      </c>
      <c r="E23" s="48" t="s">
        <v>8</v>
      </c>
      <c r="F23" s="48" t="s">
        <v>9</v>
      </c>
      <c r="G23" s="48" t="s">
        <v>10</v>
      </c>
      <c r="H23" s="49" t="s">
        <v>95</v>
      </c>
    </row>
    <row r="24" spans="2:16" ht="15.75" thickBot="1" x14ac:dyDescent="0.3">
      <c r="B24" s="44"/>
      <c r="C24" s="45" t="str">
        <f>IFERROR(VLOOKUP(B24, B6:M18, 7, 0),"")</f>
        <v/>
      </c>
      <c r="D24" s="50" t="str">
        <f>IFERROR(VLOOKUP(B24, B6:M18, 8, 0),"")</f>
        <v/>
      </c>
      <c r="E24" s="45" t="str">
        <f>IFERROR(VLOOKUP(B24, B6:M18, 9, 0),"")</f>
        <v/>
      </c>
      <c r="F24" s="45" t="e">
        <f>VLOOKUP(B24, B6:M18, 10, 0)</f>
        <v>#N/A</v>
      </c>
      <c r="G24" s="45" t="e">
        <f>VLOOKUP(B24, B6:M18, 11, 0)</f>
        <v>#N/A</v>
      </c>
      <c r="H24" s="46" t="e">
        <f>VLOOKUP(B24, B6:M18, 12, 0)</f>
        <v>#N/A</v>
      </c>
    </row>
    <row r="25" spans="2:16" x14ac:dyDescent="0.25">
      <c r="B25" s="47" t="s">
        <v>0</v>
      </c>
      <c r="C25" s="48" t="s">
        <v>218</v>
      </c>
      <c r="D25" s="48" t="s">
        <v>219</v>
      </c>
      <c r="E25" s="48" t="s">
        <v>8</v>
      </c>
      <c r="F25" s="48" t="s">
        <v>9</v>
      </c>
      <c r="G25" s="48" t="s">
        <v>10</v>
      </c>
      <c r="H25" s="49" t="s">
        <v>95</v>
      </c>
    </row>
    <row r="26" spans="2:16" ht="23.25" x14ac:dyDescent="0.35">
      <c r="B26" t="s">
        <v>538</v>
      </c>
      <c r="C26" s="168">
        <f ca="1">IFERROR(VLOOKUP(B26,B6:M18,7,0),"")</f>
        <v>262</v>
      </c>
      <c r="D26">
        <f ca="1">IFERROR(VLOOKUP(B26,B6:M18,8,0),"")</f>
        <v>61.647058823529413</v>
      </c>
      <c r="E26" t="str">
        <f ca="1">IFERROR(VLOOKUP(B26,B6:M18,9,0),"")</f>
        <v>C</v>
      </c>
      <c r="F26" t="str">
        <f ca="1">IFERROR(VLOOKUP(B26,B6:M18,10,0),"")</f>
        <v>Fail</v>
      </c>
      <c r="G26">
        <f>IFERROR(VLOOKUP(B26,B6:M18,11,0),"")</f>
        <v>0</v>
      </c>
      <c r="H26" t="str">
        <f ca="1">IFERROR(VLOOKUP(B26,B6:M18,12,0),"")</f>
        <v>---</v>
      </c>
    </row>
    <row r="32" spans="2:16" x14ac:dyDescent="0.25">
      <c r="H32" t="s">
        <v>40</v>
      </c>
    </row>
    <row r="33" spans="9:11" x14ac:dyDescent="0.25">
      <c r="K33" t="s">
        <v>40</v>
      </c>
    </row>
    <row r="34" spans="9:11" x14ac:dyDescent="0.25">
      <c r="K34" t="s">
        <v>41</v>
      </c>
    </row>
    <row r="35" spans="9:11" x14ac:dyDescent="0.25">
      <c r="K35" t="s">
        <v>42</v>
      </c>
    </row>
    <row r="45" spans="9:11" x14ac:dyDescent="0.25">
      <c r="I45" s="74" t="s">
        <v>341</v>
      </c>
    </row>
    <row r="47" spans="9:11" x14ac:dyDescent="0.25">
      <c r="I47" s="74" t="s">
        <v>342</v>
      </c>
    </row>
    <row r="49" spans="9:9" x14ac:dyDescent="0.25">
      <c r="I49" s="74" t="s">
        <v>343</v>
      </c>
    </row>
    <row r="65" spans="8:8" x14ac:dyDescent="0.25">
      <c r="H65" s="51"/>
    </row>
    <row r="83" spans="8:8" x14ac:dyDescent="0.25">
      <c r="H83" s="51">
        <v>42661</v>
      </c>
    </row>
    <row r="84" spans="8:8" x14ac:dyDescent="0.25">
      <c r="H84" s="51">
        <v>42662</v>
      </c>
    </row>
    <row r="85" spans="8:8" x14ac:dyDescent="0.25">
      <c r="H85" s="51">
        <v>42663</v>
      </c>
    </row>
    <row r="86" spans="8:8" x14ac:dyDescent="0.25">
      <c r="H86" s="51">
        <v>42664</v>
      </c>
    </row>
    <row r="87" spans="8:8" x14ac:dyDescent="0.25">
      <c r="H87" s="51">
        <v>42665</v>
      </c>
    </row>
    <row r="88" spans="8:8" x14ac:dyDescent="0.25">
      <c r="H88" s="51">
        <v>42666</v>
      </c>
    </row>
    <row r="89" spans="8:8" x14ac:dyDescent="0.25">
      <c r="H89" s="51">
        <v>42667</v>
      </c>
    </row>
    <row r="90" spans="8:8" x14ac:dyDescent="0.25">
      <c r="H90" s="51">
        <v>42668</v>
      </c>
    </row>
    <row r="91" spans="8:8" x14ac:dyDescent="0.25">
      <c r="H91" s="51">
        <v>42669</v>
      </c>
    </row>
    <row r="92" spans="8:8" x14ac:dyDescent="0.25">
      <c r="H92" s="51">
        <v>42670</v>
      </c>
    </row>
    <row r="93" spans="8:8" x14ac:dyDescent="0.25">
      <c r="H93" s="51">
        <v>42671</v>
      </c>
    </row>
    <row r="94" spans="8:8" x14ac:dyDescent="0.25">
      <c r="H94" s="51">
        <v>42672</v>
      </c>
    </row>
    <row r="95" spans="8:8" x14ac:dyDescent="0.25">
      <c r="H95" s="51">
        <v>42673</v>
      </c>
    </row>
    <row r="96" spans="8:8" x14ac:dyDescent="0.25">
      <c r="H96" s="51">
        <v>42674</v>
      </c>
    </row>
    <row r="97" spans="8:8" x14ac:dyDescent="0.25">
      <c r="H97" s="51">
        <v>42675</v>
      </c>
    </row>
    <row r="98" spans="8:8" x14ac:dyDescent="0.25">
      <c r="H98" s="51">
        <v>42676</v>
      </c>
    </row>
    <row r="99" spans="8:8" x14ac:dyDescent="0.25">
      <c r="H99" s="51">
        <v>42677</v>
      </c>
    </row>
    <row r="100" spans="8:8" x14ac:dyDescent="0.25">
      <c r="H100" s="51">
        <v>42678</v>
      </c>
    </row>
    <row r="101" spans="8:8" x14ac:dyDescent="0.25">
      <c r="H101" s="51">
        <v>42679</v>
      </c>
    </row>
    <row r="102" spans="8:8" x14ac:dyDescent="0.25">
      <c r="H102" s="51">
        <v>42680</v>
      </c>
    </row>
    <row r="103" spans="8:8" x14ac:dyDescent="0.25">
      <c r="H103" s="51">
        <v>42681</v>
      </c>
    </row>
    <row r="104" spans="8:8" x14ac:dyDescent="0.25">
      <c r="H104" s="51">
        <v>42682</v>
      </c>
    </row>
    <row r="105" spans="8:8" x14ac:dyDescent="0.25">
      <c r="H105" s="51">
        <v>42683</v>
      </c>
    </row>
    <row r="106" spans="8:8" x14ac:dyDescent="0.25">
      <c r="H106" s="51">
        <v>42684</v>
      </c>
    </row>
    <row r="107" spans="8:8" x14ac:dyDescent="0.25">
      <c r="H107" s="51">
        <v>42685</v>
      </c>
    </row>
    <row r="108" spans="8:8" x14ac:dyDescent="0.25">
      <c r="H108" s="51">
        <v>42686</v>
      </c>
    </row>
    <row r="109" spans="8:8" x14ac:dyDescent="0.25">
      <c r="H109" s="51">
        <v>42687</v>
      </c>
    </row>
    <row r="110" spans="8:8" x14ac:dyDescent="0.25">
      <c r="H110" s="51">
        <v>42688</v>
      </c>
    </row>
    <row r="111" spans="8:8" x14ac:dyDescent="0.25">
      <c r="H111" s="51">
        <v>42689</v>
      </c>
    </row>
    <row r="112" spans="8:8" x14ac:dyDescent="0.25">
      <c r="H112" s="51">
        <v>42690</v>
      </c>
    </row>
    <row r="113" spans="8:8" x14ac:dyDescent="0.25">
      <c r="H113" s="51">
        <v>42691</v>
      </c>
    </row>
    <row r="114" spans="8:8" x14ac:dyDescent="0.25">
      <c r="H114" s="51">
        <v>42692</v>
      </c>
    </row>
    <row r="115" spans="8:8" x14ac:dyDescent="0.25">
      <c r="H115" s="51">
        <v>42693</v>
      </c>
    </row>
    <row r="116" spans="8:8" x14ac:dyDescent="0.25">
      <c r="H116" s="51">
        <v>42694</v>
      </c>
    </row>
    <row r="117" spans="8:8" x14ac:dyDescent="0.25">
      <c r="H117" s="51">
        <v>42695</v>
      </c>
    </row>
    <row r="118" spans="8:8" x14ac:dyDescent="0.25">
      <c r="H118" s="51">
        <v>42696</v>
      </c>
    </row>
    <row r="119" spans="8:8" x14ac:dyDescent="0.25">
      <c r="H119" s="51">
        <v>42697</v>
      </c>
    </row>
    <row r="120" spans="8:8" x14ac:dyDescent="0.25">
      <c r="H120" s="51">
        <v>42698</v>
      </c>
    </row>
    <row r="121" spans="8:8" x14ac:dyDescent="0.25">
      <c r="H121" s="51">
        <v>42699</v>
      </c>
    </row>
    <row r="122" spans="8:8" x14ac:dyDescent="0.25">
      <c r="H122" s="51">
        <v>42700</v>
      </c>
    </row>
    <row r="123" spans="8:8" x14ac:dyDescent="0.25">
      <c r="H123" s="51">
        <v>42701</v>
      </c>
    </row>
    <row r="124" spans="8:8" x14ac:dyDescent="0.25">
      <c r="H124" s="51">
        <v>42702</v>
      </c>
    </row>
    <row r="125" spans="8:8" x14ac:dyDescent="0.25">
      <c r="H125" s="51">
        <v>42703</v>
      </c>
    </row>
    <row r="126" spans="8:8" x14ac:dyDescent="0.25">
      <c r="H126" s="51">
        <v>42704</v>
      </c>
    </row>
    <row r="127" spans="8:8" x14ac:dyDescent="0.25">
      <c r="H127" s="51">
        <v>42705</v>
      </c>
    </row>
    <row r="128" spans="8:8" x14ac:dyDescent="0.25">
      <c r="H128" s="51">
        <v>42706</v>
      </c>
    </row>
    <row r="129" spans="8:8" x14ac:dyDescent="0.25">
      <c r="H129" s="51">
        <v>42707</v>
      </c>
    </row>
    <row r="130" spans="8:8" x14ac:dyDescent="0.25">
      <c r="H130" s="51">
        <v>42708</v>
      </c>
    </row>
    <row r="131" spans="8:8" x14ac:dyDescent="0.25">
      <c r="H131" s="51">
        <v>42709</v>
      </c>
    </row>
    <row r="132" spans="8:8" x14ac:dyDescent="0.25">
      <c r="H132" s="51">
        <v>42710</v>
      </c>
    </row>
    <row r="133" spans="8:8" x14ac:dyDescent="0.25">
      <c r="H133" s="51">
        <v>42711</v>
      </c>
    </row>
    <row r="134" spans="8:8" x14ac:dyDescent="0.25">
      <c r="H134" s="51">
        <v>42712</v>
      </c>
    </row>
    <row r="135" spans="8:8" x14ac:dyDescent="0.25">
      <c r="H135" s="51">
        <v>42713</v>
      </c>
    </row>
    <row r="136" spans="8:8" x14ac:dyDescent="0.25">
      <c r="H136" s="51">
        <v>42714</v>
      </c>
    </row>
    <row r="137" spans="8:8" x14ac:dyDescent="0.25">
      <c r="H137" s="51">
        <v>42715</v>
      </c>
    </row>
    <row r="138" spans="8:8" x14ac:dyDescent="0.25">
      <c r="H138" s="51">
        <v>42716</v>
      </c>
    </row>
    <row r="139" spans="8:8" x14ac:dyDescent="0.25">
      <c r="H139" s="51">
        <v>42717</v>
      </c>
    </row>
    <row r="140" spans="8:8" x14ac:dyDescent="0.25">
      <c r="H140" s="51">
        <v>42718</v>
      </c>
    </row>
    <row r="141" spans="8:8" x14ac:dyDescent="0.25">
      <c r="H141" s="51">
        <v>42719</v>
      </c>
    </row>
    <row r="142" spans="8:8" x14ac:dyDescent="0.25">
      <c r="H142" s="51">
        <v>42720</v>
      </c>
    </row>
    <row r="143" spans="8:8" x14ac:dyDescent="0.25">
      <c r="H143" s="51">
        <v>42721</v>
      </c>
    </row>
    <row r="144" spans="8:8" x14ac:dyDescent="0.25">
      <c r="H144" s="51">
        <v>42722</v>
      </c>
    </row>
    <row r="145" spans="8:8" x14ac:dyDescent="0.25">
      <c r="H145" s="51">
        <v>42723</v>
      </c>
    </row>
    <row r="146" spans="8:8" x14ac:dyDescent="0.25">
      <c r="H146" s="51">
        <v>42724</v>
      </c>
    </row>
    <row r="147" spans="8:8" x14ac:dyDescent="0.25">
      <c r="H147" s="51">
        <v>42725</v>
      </c>
    </row>
    <row r="148" spans="8:8" x14ac:dyDescent="0.25">
      <c r="H148" s="51">
        <v>42726</v>
      </c>
    </row>
    <row r="149" spans="8:8" x14ac:dyDescent="0.25">
      <c r="H149" s="51">
        <v>42727</v>
      </c>
    </row>
    <row r="150" spans="8:8" x14ac:dyDescent="0.25">
      <c r="H150" s="51">
        <v>42728</v>
      </c>
    </row>
    <row r="151" spans="8:8" x14ac:dyDescent="0.25">
      <c r="H151" s="51">
        <v>42729</v>
      </c>
    </row>
    <row r="152" spans="8:8" x14ac:dyDescent="0.25">
      <c r="H152" s="51">
        <v>42730</v>
      </c>
    </row>
    <row r="153" spans="8:8" x14ac:dyDescent="0.25">
      <c r="H153" s="51">
        <v>42731</v>
      </c>
    </row>
    <row r="154" spans="8:8" x14ac:dyDescent="0.25">
      <c r="H154" s="51">
        <v>42732</v>
      </c>
    </row>
    <row r="155" spans="8:8" x14ac:dyDescent="0.25">
      <c r="H155" s="51">
        <v>42733</v>
      </c>
    </row>
    <row r="156" spans="8:8" x14ac:dyDescent="0.25">
      <c r="H156" s="51">
        <v>42734</v>
      </c>
    </row>
    <row r="157" spans="8:8" x14ac:dyDescent="0.25">
      <c r="H157" s="51">
        <v>42735</v>
      </c>
    </row>
    <row r="158" spans="8:8" x14ac:dyDescent="0.25">
      <c r="H158" s="51">
        <v>42736</v>
      </c>
    </row>
    <row r="159" spans="8:8" x14ac:dyDescent="0.25">
      <c r="H159" s="51">
        <v>42737</v>
      </c>
    </row>
    <row r="160" spans="8:8" x14ac:dyDescent="0.25">
      <c r="H160" s="51">
        <v>42738</v>
      </c>
    </row>
    <row r="161" spans="8:8" x14ac:dyDescent="0.25">
      <c r="H161" s="51">
        <v>42739</v>
      </c>
    </row>
    <row r="162" spans="8:8" x14ac:dyDescent="0.25">
      <c r="H162" s="51">
        <v>42740</v>
      </c>
    </row>
    <row r="163" spans="8:8" x14ac:dyDescent="0.25">
      <c r="H163" s="51">
        <v>42741</v>
      </c>
    </row>
    <row r="164" spans="8:8" x14ac:dyDescent="0.25">
      <c r="H164" s="51">
        <v>42742</v>
      </c>
    </row>
    <row r="165" spans="8:8" x14ac:dyDescent="0.25">
      <c r="H165" s="51">
        <v>42743</v>
      </c>
    </row>
    <row r="166" spans="8:8" x14ac:dyDescent="0.25">
      <c r="H166" s="51">
        <v>42744</v>
      </c>
    </row>
    <row r="167" spans="8:8" x14ac:dyDescent="0.25">
      <c r="H167" s="51">
        <v>42745</v>
      </c>
    </row>
    <row r="168" spans="8:8" x14ac:dyDescent="0.25">
      <c r="H168" s="51">
        <v>42746</v>
      </c>
    </row>
    <row r="169" spans="8:8" x14ac:dyDescent="0.25">
      <c r="H169" s="51">
        <v>42747</v>
      </c>
    </row>
    <row r="170" spans="8:8" x14ac:dyDescent="0.25">
      <c r="H170" s="51">
        <v>42748</v>
      </c>
    </row>
    <row r="171" spans="8:8" x14ac:dyDescent="0.25">
      <c r="H171" s="51">
        <v>42749</v>
      </c>
    </row>
    <row r="172" spans="8:8" x14ac:dyDescent="0.25">
      <c r="H172" s="51">
        <v>42750</v>
      </c>
    </row>
    <row r="173" spans="8:8" x14ac:dyDescent="0.25">
      <c r="H173" s="51">
        <v>42751</v>
      </c>
    </row>
    <row r="174" spans="8:8" x14ac:dyDescent="0.25">
      <c r="H174" s="51">
        <v>42752</v>
      </c>
    </row>
    <row r="175" spans="8:8" x14ac:dyDescent="0.25">
      <c r="H175" s="51">
        <v>42753</v>
      </c>
    </row>
    <row r="176" spans="8:8" x14ac:dyDescent="0.25">
      <c r="H176" s="51">
        <v>42754</v>
      </c>
    </row>
    <row r="177" spans="8:8" x14ac:dyDescent="0.25">
      <c r="H177" s="51">
        <v>42755</v>
      </c>
    </row>
    <row r="178" spans="8:8" x14ac:dyDescent="0.25">
      <c r="H178" s="51">
        <v>42756</v>
      </c>
    </row>
    <row r="179" spans="8:8" x14ac:dyDescent="0.25">
      <c r="H179" s="51">
        <v>42757</v>
      </c>
    </row>
    <row r="180" spans="8:8" x14ac:dyDescent="0.25">
      <c r="H180" s="51">
        <v>42758</v>
      </c>
    </row>
    <row r="181" spans="8:8" x14ac:dyDescent="0.25">
      <c r="H181" s="51">
        <v>42759</v>
      </c>
    </row>
    <row r="182" spans="8:8" x14ac:dyDescent="0.25">
      <c r="H182" s="51">
        <v>42760</v>
      </c>
    </row>
    <row r="183" spans="8:8" x14ac:dyDescent="0.25">
      <c r="H183" s="51">
        <v>42761</v>
      </c>
    </row>
    <row r="184" spans="8:8" x14ac:dyDescent="0.25">
      <c r="H184" s="51">
        <v>42762</v>
      </c>
    </row>
    <row r="185" spans="8:8" x14ac:dyDescent="0.25">
      <c r="H185" s="51">
        <v>42763</v>
      </c>
    </row>
    <row r="186" spans="8:8" x14ac:dyDescent="0.25">
      <c r="H186" s="51">
        <v>42764</v>
      </c>
    </row>
    <row r="187" spans="8:8" x14ac:dyDescent="0.25">
      <c r="H187" s="51">
        <v>42765</v>
      </c>
    </row>
    <row r="188" spans="8:8" x14ac:dyDescent="0.25">
      <c r="H188" s="51">
        <v>42766</v>
      </c>
    </row>
    <row r="189" spans="8:8" x14ac:dyDescent="0.25">
      <c r="H189" s="51">
        <v>42767</v>
      </c>
    </row>
    <row r="190" spans="8:8" x14ac:dyDescent="0.25">
      <c r="H190" s="51">
        <v>42768</v>
      </c>
    </row>
    <row r="191" spans="8:8" x14ac:dyDescent="0.25">
      <c r="H191" s="51">
        <v>42769</v>
      </c>
    </row>
    <row r="192" spans="8:8" x14ac:dyDescent="0.25">
      <c r="H192" s="51">
        <v>42770</v>
      </c>
    </row>
    <row r="193" spans="8:8" x14ac:dyDescent="0.25">
      <c r="H193" s="51">
        <v>42771</v>
      </c>
    </row>
    <row r="194" spans="8:8" x14ac:dyDescent="0.25">
      <c r="H194" s="51">
        <v>42772</v>
      </c>
    </row>
    <row r="195" spans="8:8" x14ac:dyDescent="0.25">
      <c r="H195" s="51">
        <v>42773</v>
      </c>
    </row>
    <row r="196" spans="8:8" x14ac:dyDescent="0.25">
      <c r="H196" s="51">
        <v>42774</v>
      </c>
    </row>
    <row r="197" spans="8:8" x14ac:dyDescent="0.25">
      <c r="H197" s="51">
        <v>42775</v>
      </c>
    </row>
    <row r="198" spans="8:8" x14ac:dyDescent="0.25">
      <c r="H198" s="51">
        <v>42776</v>
      </c>
    </row>
    <row r="199" spans="8:8" x14ac:dyDescent="0.25">
      <c r="H199" s="51">
        <v>42777</v>
      </c>
    </row>
    <row r="200" spans="8:8" x14ac:dyDescent="0.25">
      <c r="H200" s="51">
        <v>42778</v>
      </c>
    </row>
    <row r="201" spans="8:8" x14ac:dyDescent="0.25">
      <c r="H201" s="51">
        <v>42779</v>
      </c>
    </row>
    <row r="202" spans="8:8" x14ac:dyDescent="0.25">
      <c r="H202" s="51">
        <v>42780</v>
      </c>
    </row>
    <row r="203" spans="8:8" x14ac:dyDescent="0.25">
      <c r="H203" s="51">
        <v>42781</v>
      </c>
    </row>
    <row r="204" spans="8:8" x14ac:dyDescent="0.25">
      <c r="H204" s="51">
        <v>42782</v>
      </c>
    </row>
    <row r="205" spans="8:8" x14ac:dyDescent="0.25">
      <c r="H205" s="51">
        <v>42783</v>
      </c>
    </row>
    <row r="206" spans="8:8" x14ac:dyDescent="0.25">
      <c r="H206" s="51">
        <v>42784</v>
      </c>
    </row>
    <row r="207" spans="8:8" x14ac:dyDescent="0.25">
      <c r="H207" s="51">
        <v>42785</v>
      </c>
    </row>
    <row r="208" spans="8:8" x14ac:dyDescent="0.25">
      <c r="H208" s="51">
        <v>42786</v>
      </c>
    </row>
    <row r="209" spans="8:8" x14ac:dyDescent="0.25">
      <c r="H209" s="51">
        <v>42787</v>
      </c>
    </row>
    <row r="210" spans="8:8" x14ac:dyDescent="0.25">
      <c r="H210" s="51">
        <v>42788</v>
      </c>
    </row>
    <row r="211" spans="8:8" x14ac:dyDescent="0.25">
      <c r="H211" s="51">
        <v>42789</v>
      </c>
    </row>
    <row r="212" spans="8:8" x14ac:dyDescent="0.25">
      <c r="H212" s="51">
        <v>42790</v>
      </c>
    </row>
    <row r="213" spans="8:8" x14ac:dyDescent="0.25">
      <c r="H213" s="51">
        <v>42791</v>
      </c>
    </row>
    <row r="214" spans="8:8" x14ac:dyDescent="0.25">
      <c r="H214" s="51">
        <v>42792</v>
      </c>
    </row>
    <row r="215" spans="8:8" x14ac:dyDescent="0.25">
      <c r="H215" s="51">
        <v>42793</v>
      </c>
    </row>
    <row r="216" spans="8:8" x14ac:dyDescent="0.25">
      <c r="H216" s="51">
        <v>42794</v>
      </c>
    </row>
    <row r="217" spans="8:8" x14ac:dyDescent="0.25">
      <c r="H217" s="51">
        <v>42795</v>
      </c>
    </row>
    <row r="218" spans="8:8" x14ac:dyDescent="0.25">
      <c r="H218" s="51">
        <v>42796</v>
      </c>
    </row>
    <row r="219" spans="8:8" x14ac:dyDescent="0.25">
      <c r="H219" s="51">
        <v>42797</v>
      </c>
    </row>
    <row r="220" spans="8:8" x14ac:dyDescent="0.25">
      <c r="H220" s="51">
        <v>42798</v>
      </c>
    </row>
    <row r="221" spans="8:8" x14ac:dyDescent="0.25">
      <c r="H221" s="51">
        <v>42799</v>
      </c>
    </row>
    <row r="222" spans="8:8" x14ac:dyDescent="0.25">
      <c r="H222" s="51">
        <v>42800</v>
      </c>
    </row>
    <row r="223" spans="8:8" x14ac:dyDescent="0.25">
      <c r="H223" s="51">
        <v>42801</v>
      </c>
    </row>
    <row r="224" spans="8:8" x14ac:dyDescent="0.25">
      <c r="H224" s="51">
        <v>42802</v>
      </c>
    </row>
    <row r="225" spans="8:8" x14ac:dyDescent="0.25">
      <c r="H225" s="51">
        <v>42803</v>
      </c>
    </row>
    <row r="226" spans="8:8" x14ac:dyDescent="0.25">
      <c r="H226" s="51">
        <v>42804</v>
      </c>
    </row>
    <row r="227" spans="8:8" x14ac:dyDescent="0.25">
      <c r="H227" s="51">
        <v>42805</v>
      </c>
    </row>
    <row r="228" spans="8:8" x14ac:dyDescent="0.25">
      <c r="H228" s="51">
        <v>42806</v>
      </c>
    </row>
    <row r="229" spans="8:8" x14ac:dyDescent="0.25">
      <c r="H229" s="51">
        <v>42807</v>
      </c>
    </row>
    <row r="230" spans="8:8" x14ac:dyDescent="0.25">
      <c r="H230" s="51">
        <v>42808</v>
      </c>
    </row>
    <row r="231" spans="8:8" x14ac:dyDescent="0.25">
      <c r="H231" s="51">
        <v>42809</v>
      </c>
    </row>
    <row r="232" spans="8:8" x14ac:dyDescent="0.25">
      <c r="H232" s="51">
        <v>42810</v>
      </c>
    </row>
    <row r="233" spans="8:8" x14ac:dyDescent="0.25">
      <c r="H233" s="51">
        <v>42811</v>
      </c>
    </row>
    <row r="234" spans="8:8" x14ac:dyDescent="0.25">
      <c r="H234" s="51">
        <v>42812</v>
      </c>
    </row>
    <row r="235" spans="8:8" x14ac:dyDescent="0.25">
      <c r="H235" s="51">
        <v>42813</v>
      </c>
    </row>
    <row r="236" spans="8:8" x14ac:dyDescent="0.25">
      <c r="H236" s="51">
        <v>42814</v>
      </c>
    </row>
    <row r="237" spans="8:8" x14ac:dyDescent="0.25">
      <c r="H237" s="51">
        <v>42815</v>
      </c>
    </row>
    <row r="238" spans="8:8" x14ac:dyDescent="0.25">
      <c r="H238" s="51">
        <v>42816</v>
      </c>
    </row>
    <row r="239" spans="8:8" x14ac:dyDescent="0.25">
      <c r="H239" s="51">
        <v>42817</v>
      </c>
    </row>
    <row r="240" spans="8:8" x14ac:dyDescent="0.25">
      <c r="H240" s="51">
        <v>42818</v>
      </c>
    </row>
    <row r="241" spans="8:8" x14ac:dyDescent="0.25">
      <c r="H241" s="51">
        <v>42819</v>
      </c>
    </row>
    <row r="242" spans="8:8" x14ac:dyDescent="0.25">
      <c r="H242" s="51">
        <v>42820</v>
      </c>
    </row>
    <row r="243" spans="8:8" x14ac:dyDescent="0.25">
      <c r="H243" s="51">
        <v>42821</v>
      </c>
    </row>
    <row r="244" spans="8:8" x14ac:dyDescent="0.25">
      <c r="H244" s="51">
        <v>42822</v>
      </c>
    </row>
    <row r="245" spans="8:8" x14ac:dyDescent="0.25">
      <c r="H245" s="51">
        <v>42823</v>
      </c>
    </row>
    <row r="246" spans="8:8" x14ac:dyDescent="0.25">
      <c r="H246" s="51">
        <v>42824</v>
      </c>
    </row>
    <row r="247" spans="8:8" x14ac:dyDescent="0.25">
      <c r="H247" s="51">
        <v>42825</v>
      </c>
    </row>
    <row r="248" spans="8:8" x14ac:dyDescent="0.25">
      <c r="H248" s="51">
        <v>42826</v>
      </c>
    </row>
    <row r="249" spans="8:8" x14ac:dyDescent="0.25">
      <c r="H249" s="51">
        <v>42827</v>
      </c>
    </row>
    <row r="250" spans="8:8" x14ac:dyDescent="0.25">
      <c r="H250" s="51">
        <v>42828</v>
      </c>
    </row>
    <row r="251" spans="8:8" x14ac:dyDescent="0.25">
      <c r="H251" s="51">
        <v>42829</v>
      </c>
    </row>
    <row r="252" spans="8:8" x14ac:dyDescent="0.25">
      <c r="H252" s="51">
        <v>42830</v>
      </c>
    </row>
    <row r="253" spans="8:8" x14ac:dyDescent="0.25">
      <c r="H253" s="51">
        <v>42831</v>
      </c>
    </row>
    <row r="254" spans="8:8" x14ac:dyDescent="0.25">
      <c r="H254" s="51">
        <v>42832</v>
      </c>
    </row>
    <row r="255" spans="8:8" x14ac:dyDescent="0.25">
      <c r="H255" s="51">
        <v>42833</v>
      </c>
    </row>
    <row r="256" spans="8:8" x14ac:dyDescent="0.25">
      <c r="H256" s="51">
        <v>42834</v>
      </c>
    </row>
    <row r="257" spans="8:8" x14ac:dyDescent="0.25">
      <c r="H257" s="51">
        <v>42835</v>
      </c>
    </row>
    <row r="258" spans="8:8" x14ac:dyDescent="0.25">
      <c r="H258" s="51">
        <v>42836</v>
      </c>
    </row>
    <row r="259" spans="8:8" x14ac:dyDescent="0.25">
      <c r="H259" s="51">
        <v>42837</v>
      </c>
    </row>
    <row r="260" spans="8:8" x14ac:dyDescent="0.25">
      <c r="H260" s="51">
        <v>42838</v>
      </c>
    </row>
    <row r="261" spans="8:8" x14ac:dyDescent="0.25">
      <c r="H261" s="51">
        <v>42839</v>
      </c>
    </row>
    <row r="262" spans="8:8" x14ac:dyDescent="0.25">
      <c r="H262" s="51">
        <v>42840</v>
      </c>
    </row>
    <row r="263" spans="8:8" x14ac:dyDescent="0.25">
      <c r="H263" s="51">
        <v>42841</v>
      </c>
    </row>
  </sheetData>
  <sheetProtection formatCells="0" formatColumns="0" formatRows="0" insertColumns="0" insertRows="0" insertHyperlinks="0" deleteColumns="0" deleteRows="0" sort="0" autoFilter="0" pivotTables="0"/>
  <scenarios current="0">
    <scenario name="a" locked="1" count="24" user="IRFAN AFRIDI" comment="Created by IRFAN AFRIDI on 8/18/2021">
      <inputCells r="B6" val="Name"/>
      <inputCells r="C6" val="Urdu"/>
      <inputCells r="D6" val="English"/>
      <inputCells r="E6" val="Maths"/>
      <inputCells r="F6" val="Physics"/>
      <inputCells r="G6" val="Islamiat"/>
      <inputCells r="B11" val="Mohsin"/>
      <inputCells r="C11" val="60"/>
      <inputCells r="D11" val="65"/>
      <inputCells r="E11" val="80"/>
      <inputCells r="F11" val="89"/>
      <inputCells r="G11" val="66"/>
      <inputCells r="B15" val="Hamid"/>
      <inputCells r="C15" val="75"/>
      <inputCells r="D15" val="70"/>
      <inputCells r="E15" val="90"/>
      <inputCells r="F15" val="93"/>
      <inputCells r="G15" val="70"/>
      <inputCells r="B18" val="Asad"/>
      <inputCells r="C18" val="69"/>
      <inputCells r="D18" val="66"/>
      <inputCells r="E18" val="78"/>
      <inputCells r="F18" val="12"/>
      <inputCells r="G18" val="45"/>
    </scenario>
  </scenarios>
  <sortState xmlns:xlrd2="http://schemas.microsoft.com/office/spreadsheetml/2017/richdata2" ref="B7:M18">
    <sortCondition descending="1" ref="I7:I18"/>
    <sortCondition ref="B7:B18"/>
  </sortState>
  <dataConsolidate/>
  <customSheetViews>
    <customSheetView guid="{D6BA57A5-118E-4B58-A351-7E1C36DA5B56}" scale="178" topLeftCell="D1">
      <selection activeCell="K22" sqref="K22"/>
      <pageMargins left="0.7" right="0.7" top="0.75" bottom="0.75" header="0.3" footer="0.3"/>
      <pageSetup orientation="landscape" horizontalDpi="300" verticalDpi="300" r:id="rId1"/>
    </customSheetView>
    <customSheetView guid="{05B8E57A-BB97-41F0-B6FB-606E79293C77}" scale="90" showPageBreaks="1" view="pageLayout" showRuler="0">
      <selection activeCell="B6" sqref="B6:K18"/>
      <pageMargins left="0.7" right="0.7" top="0.75" bottom="0.75" header="0.3" footer="0.3"/>
      <pageSetup orientation="landscape" horizontalDpi="300" verticalDpi="300" r:id="rId2"/>
    </customSheetView>
    <customSheetView guid="{3C013989-8552-4FE1-BB7E-C88994E2D13D}">
      <selection activeCell="K22" sqref="K22"/>
      <pageMargins left="0.7" right="0.7" top="0.75" bottom="0.75" header="0.3" footer="0.3"/>
      <pageSetup orientation="landscape" horizontalDpi="300" verticalDpi="300" r:id="rId3"/>
    </customSheetView>
    <customSheetView guid="{75B547B5-834C-4784-8C45-4C35B93C736F}" scale="140" showPageBreaks="1" topLeftCell="G9">
      <selection activeCell="N25" sqref="N25"/>
      <pageMargins left="0.7" right="0.7" top="0.75" bottom="0.75" header="0.3" footer="0.3"/>
      <pageSetup orientation="landscape" horizontalDpi="300" verticalDpi="300" r:id="rId4"/>
    </customSheetView>
  </customSheetViews>
  <mergeCells count="3">
    <mergeCell ref="Q7:R7"/>
    <mergeCell ref="Q11:R11"/>
    <mergeCell ref="B1:M5"/>
  </mergeCells>
  <dataValidations xWindow="397" yWindow="451" count="3">
    <dataValidation type="list" allowBlank="1" showInputMessage="1" showErrorMessage="1" sqref="H32:H37" xr:uid="{00000000-0002-0000-0300-000000000000}">
      <formula1>$K$33:$K$35</formula1>
    </dataValidation>
    <dataValidation type="date" allowBlank="1" showInputMessage="1" showErrorMessage="1" sqref="H83:H263" xr:uid="{00000000-0002-0000-0300-000001000000}">
      <formula1>H71</formula1>
      <formula2>H79</formula2>
    </dataValidation>
    <dataValidation type="whole" allowBlank="1" showInputMessage="1" showErrorMessage="1" errorTitle="Error" error="Please enter valid number" promptTitle="Information" prompt="Enter value from 1 to 100" sqref="C7:G18" xr:uid="{00000000-0002-0000-0300-000002000000}">
      <formula1>1</formula1>
      <formula2>100</formula2>
    </dataValidation>
  </dataValidations>
  <hyperlinks>
    <hyperlink ref="I45" location="'if Logical'!A1" display="If Logical" xr:uid="{00000000-0004-0000-0300-000000000000}"/>
    <hyperlink ref="I47" location="'(if) Bank Salary Sheet'!A1" display="Bank Salary sheet" xr:uid="{00000000-0004-0000-0300-000001000000}"/>
    <hyperlink ref="I49" r:id="rId5" xr:uid="{00000000-0004-0000-0300-000002000000}"/>
  </hyperlinks>
  <pageMargins left="0.31" right="0.03" top="0.75" bottom="0.75" header="0.3" footer="0.3"/>
  <pageSetup paperSize="9" orientation="landscape" horizontalDpi="300" verticalDpi="300" r:id="rId6"/>
  <drawing r:id="rId7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displayXAxis="1" xr2:uid="{00000000-0003-0000-03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'Mark Sheet'!B7:G7</xm:f>
              <xm:sqref>N3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M60"/>
  <sheetViews>
    <sheetView topLeftCell="A31" workbookViewId="0">
      <selection activeCell="F37" sqref="F37"/>
    </sheetView>
  </sheetViews>
  <sheetFormatPr defaultRowHeight="15" x14ac:dyDescent="0.25"/>
  <cols>
    <col min="1" max="1" width="5" customWidth="1"/>
    <col min="2" max="2" width="31" customWidth="1"/>
    <col min="3" max="3" width="21.42578125" customWidth="1"/>
    <col min="4" max="5" width="12.42578125" customWidth="1"/>
    <col min="6" max="6" width="16.42578125" customWidth="1"/>
    <col min="7" max="8" width="19" customWidth="1"/>
    <col min="11" max="11" width="20.5703125" customWidth="1"/>
    <col min="12" max="12" width="13.42578125" customWidth="1"/>
    <col min="13" max="13" width="14.140625" customWidth="1"/>
  </cols>
  <sheetData>
    <row r="1" spans="1:13" ht="18.75" x14ac:dyDescent="0.3">
      <c r="A1" s="41">
        <v>1</v>
      </c>
      <c r="B1" s="42" t="s">
        <v>26</v>
      </c>
      <c r="D1" s="242" t="s">
        <v>26</v>
      </c>
      <c r="E1" s="242"/>
      <c r="F1" s="239" t="s">
        <v>26</v>
      </c>
      <c r="G1" s="239"/>
      <c r="H1" s="155"/>
      <c r="I1" s="234" t="s">
        <v>26</v>
      </c>
      <c r="J1" s="234"/>
      <c r="L1" s="234" t="s">
        <v>30</v>
      </c>
      <c r="M1" s="234"/>
    </row>
    <row r="2" spans="1:13" x14ac:dyDescent="0.25">
      <c r="A2" s="41">
        <v>2</v>
      </c>
      <c r="B2" s="42" t="s">
        <v>27</v>
      </c>
      <c r="D2" s="43" t="s">
        <v>28</v>
      </c>
      <c r="E2" s="43" t="s">
        <v>29</v>
      </c>
      <c r="F2" s="153" t="s">
        <v>486</v>
      </c>
      <c r="G2" s="153" t="s">
        <v>29</v>
      </c>
      <c r="H2" s="153"/>
      <c r="I2" s="6" t="s">
        <v>28</v>
      </c>
      <c r="J2" s="6" t="s">
        <v>29</v>
      </c>
      <c r="L2" s="6" t="s">
        <v>33</v>
      </c>
      <c r="M2" s="6" t="s">
        <v>34</v>
      </c>
    </row>
    <row r="3" spans="1:13" x14ac:dyDescent="0.25">
      <c r="A3" s="41">
        <v>3</v>
      </c>
      <c r="B3" s="42" t="s">
        <v>30</v>
      </c>
      <c r="D3" s="7">
        <v>1</v>
      </c>
      <c r="E3" s="7">
        <f>IF(D3=1,10000,IF(D3=2,20000,IF(D3=3,30000,IF(D3=4,40000,0))))</f>
        <v>10000</v>
      </c>
      <c r="F3" s="39">
        <v>1</v>
      </c>
      <c r="G3" s="39" t="str">
        <f>IF(F3=1,"10000",0)</f>
        <v>10000</v>
      </c>
      <c r="H3" s="39"/>
      <c r="I3" s="7">
        <v>1</v>
      </c>
      <c r="J3" s="7">
        <f>IF(I3=1,10000,IF(I3=2,20000,IF(I3=3,30000,IF(I3=4,40000,IF(I3=5,50000,IF(I3=6,60000,IF(I3=7,70000,IF(I3=8,80000,0))))))))</f>
        <v>10000</v>
      </c>
      <c r="L3" s="7" t="s">
        <v>35</v>
      </c>
      <c r="M3" s="7">
        <f>IF(L3="Coca Cola", 40, IF(L3="Chicken", 180, 0))</f>
        <v>40</v>
      </c>
    </row>
    <row r="4" spans="1:13" ht="23.25" x14ac:dyDescent="0.35">
      <c r="A4" s="41">
        <v>4</v>
      </c>
      <c r="B4" s="42" t="s">
        <v>31</v>
      </c>
      <c r="D4" s="7">
        <v>2</v>
      </c>
      <c r="E4" s="7">
        <f t="shared" ref="E4:E11" si="0">IF(D4=1,10000,IF(D4=2,20000,IF(D4=3,30000,IF(D4=4,40000,0))))</f>
        <v>20000</v>
      </c>
      <c r="F4" s="157">
        <f ca="1">10*RAND()</f>
        <v>6.2139514084040837</v>
      </c>
      <c r="G4" s="39">
        <f ca="1">IF(F4=1,"70000",0)</f>
        <v>0</v>
      </c>
      <c r="H4" s="39"/>
      <c r="I4" s="7">
        <v>2</v>
      </c>
      <c r="J4" s="7">
        <f t="shared" ref="J4:J11" si="1">IF(I4=1,10000,IF(I4=2,20000,IF(I4=3,30000,IF(I4=4,40000,IF(I4=5,50000,IF(I4=6,60000,IF(I4=7,70000,IF(I4=8,80000,0))))))))</f>
        <v>20000</v>
      </c>
      <c r="L4" s="7" t="s">
        <v>36</v>
      </c>
      <c r="M4" s="7">
        <f t="shared" ref="M4:M10" si="2">IF(L4="Coca Cola", 40, IF(L4="Chicken", 180, 0))</f>
        <v>180</v>
      </c>
    </row>
    <row r="5" spans="1:13" x14ac:dyDescent="0.25">
      <c r="D5" s="7">
        <v>3</v>
      </c>
      <c r="E5" s="7">
        <f t="shared" si="0"/>
        <v>30000</v>
      </c>
      <c r="F5" s="39">
        <v>3</v>
      </c>
      <c r="G5" s="39" t="str">
        <f>IF(F5=3,"300000",0)</f>
        <v>300000</v>
      </c>
      <c r="H5" s="39"/>
      <c r="I5" s="7">
        <v>3</v>
      </c>
      <c r="J5" s="7">
        <f t="shared" si="1"/>
        <v>30000</v>
      </c>
      <c r="L5" s="7"/>
      <c r="M5" s="7">
        <f t="shared" si="2"/>
        <v>0</v>
      </c>
    </row>
    <row r="6" spans="1:13" x14ac:dyDescent="0.25">
      <c r="D6" s="7">
        <v>4</v>
      </c>
      <c r="E6" s="7">
        <f t="shared" si="0"/>
        <v>40000</v>
      </c>
      <c r="F6" s="39"/>
      <c r="G6" s="39"/>
      <c r="H6" s="39"/>
      <c r="I6" s="7">
        <v>4</v>
      </c>
      <c r="J6" s="7">
        <f t="shared" si="1"/>
        <v>40000</v>
      </c>
      <c r="L6" s="7"/>
      <c r="M6" s="7">
        <f t="shared" si="2"/>
        <v>0</v>
      </c>
    </row>
    <row r="7" spans="1:13" x14ac:dyDescent="0.25">
      <c r="B7">
        <v>36.6</v>
      </c>
      <c r="D7" s="7">
        <v>5</v>
      </c>
      <c r="E7" s="7">
        <f t="shared" si="0"/>
        <v>0</v>
      </c>
      <c r="F7" s="39"/>
      <c r="G7" s="39"/>
      <c r="H7" s="39"/>
      <c r="I7" s="7">
        <v>5</v>
      </c>
      <c r="J7" s="7">
        <f t="shared" si="1"/>
        <v>50000</v>
      </c>
      <c r="L7" s="7"/>
      <c r="M7" s="7">
        <f t="shared" si="2"/>
        <v>0</v>
      </c>
    </row>
    <row r="8" spans="1:13" x14ac:dyDescent="0.25">
      <c r="B8">
        <v>36.5</v>
      </c>
      <c r="D8" s="7">
        <v>6</v>
      </c>
      <c r="E8" s="7">
        <f t="shared" si="0"/>
        <v>0</v>
      </c>
      <c r="F8" s="39"/>
      <c r="G8" s="39"/>
      <c r="H8" s="39"/>
      <c r="I8" s="7">
        <v>6</v>
      </c>
      <c r="J8" s="7">
        <f t="shared" si="1"/>
        <v>60000</v>
      </c>
      <c r="L8" s="7"/>
      <c r="M8" s="7">
        <f t="shared" si="2"/>
        <v>0</v>
      </c>
    </row>
    <row r="9" spans="1:13" x14ac:dyDescent="0.25">
      <c r="B9">
        <f>36.4</f>
        <v>36.4</v>
      </c>
      <c r="D9" s="7">
        <v>1</v>
      </c>
      <c r="E9" s="7">
        <f t="shared" si="0"/>
        <v>10000</v>
      </c>
      <c r="F9" s="39"/>
      <c r="G9" s="39"/>
      <c r="H9" s="39"/>
      <c r="I9" s="7">
        <v>7</v>
      </c>
      <c r="J9" s="7">
        <f t="shared" si="1"/>
        <v>70000</v>
      </c>
      <c r="L9" s="7"/>
      <c r="M9" s="7">
        <f t="shared" si="2"/>
        <v>0</v>
      </c>
    </row>
    <row r="10" spans="1:13" x14ac:dyDescent="0.25">
      <c r="D10" s="7">
        <v>2</v>
      </c>
      <c r="E10" s="7">
        <f t="shared" si="0"/>
        <v>20000</v>
      </c>
      <c r="F10" s="39"/>
      <c r="G10" s="39"/>
      <c r="H10" s="39"/>
      <c r="I10" s="7">
        <v>8</v>
      </c>
      <c r="J10" s="7">
        <f t="shared" si="1"/>
        <v>80000</v>
      </c>
      <c r="L10" s="7"/>
      <c r="M10" s="7">
        <f t="shared" si="2"/>
        <v>0</v>
      </c>
    </row>
    <row r="11" spans="1:13" x14ac:dyDescent="0.25">
      <c r="B11" t="e">
        <f ca="1">CELL(36.5)</f>
        <v>#VALUE!</v>
      </c>
      <c r="D11" s="7">
        <v>3</v>
      </c>
      <c r="E11" s="7">
        <f t="shared" si="0"/>
        <v>30000</v>
      </c>
      <c r="F11" s="39"/>
      <c r="G11" s="39"/>
      <c r="H11" s="39"/>
      <c r="I11" s="7">
        <v>9</v>
      </c>
      <c r="J11" s="7">
        <f t="shared" si="1"/>
        <v>0</v>
      </c>
      <c r="L11" s="7" t="s">
        <v>37</v>
      </c>
      <c r="M11" s="7">
        <f>SUM(M3:M10)</f>
        <v>220</v>
      </c>
    </row>
    <row r="13" spans="1:13" x14ac:dyDescent="0.25">
      <c r="I13" s="234" t="s">
        <v>32</v>
      </c>
      <c r="J13" s="234"/>
      <c r="L13" s="234" t="s">
        <v>31</v>
      </c>
      <c r="M13" s="234"/>
    </row>
    <row r="14" spans="1:13" ht="26.25" x14ac:dyDescent="0.4">
      <c r="B14" s="156">
        <f>36.987654321</f>
        <v>36.987654321000001</v>
      </c>
      <c r="D14" s="233" t="s">
        <v>27</v>
      </c>
      <c r="E14" s="233"/>
      <c r="F14" s="235" t="s">
        <v>487</v>
      </c>
      <c r="G14" s="236"/>
      <c r="H14" s="160"/>
      <c r="I14" s="158" t="s">
        <v>7</v>
      </c>
      <c r="J14" s="6" t="s">
        <v>8</v>
      </c>
      <c r="L14" s="6" t="s">
        <v>38</v>
      </c>
      <c r="M14" s="6" t="s">
        <v>39</v>
      </c>
    </row>
    <row r="15" spans="1:13" ht="49.5" customHeight="1" x14ac:dyDescent="0.25">
      <c r="D15" s="19" t="s">
        <v>7</v>
      </c>
      <c r="E15" s="19" t="s">
        <v>8</v>
      </c>
      <c r="F15" s="159" t="s">
        <v>488</v>
      </c>
      <c r="G15" s="159" t="s">
        <v>8</v>
      </c>
      <c r="H15" s="161"/>
      <c r="I15" s="142">
        <v>80</v>
      </c>
      <c r="J15" s="7" t="str">
        <f t="shared" ref="J15:J23" si="3">IF(I15&gt;=80, "A-1", IF(I15&gt;=70, "A", IF(I15&gt;=60, "B", IF(I15&gt;=45, "C", "Idiot"))))</f>
        <v>A-1</v>
      </c>
      <c r="L15" s="7" t="s">
        <v>40</v>
      </c>
      <c r="M15" s="7" t="str">
        <f>IF(L15="A", "Apple", IF(L15="B", "Banana", IF(L15="C", "Cat", IF(L15="D", "Go Nawaz Go", "Go Zardari Go"))))</f>
        <v>Apple</v>
      </c>
    </row>
    <row r="16" spans="1:13" ht="54" customHeight="1" x14ac:dyDescent="0.25">
      <c r="B16" s="232" t="s">
        <v>136</v>
      </c>
      <c r="D16" s="7">
        <v>100</v>
      </c>
      <c r="E16" s="7" t="str">
        <f>IF(D16&gt;=80, "A-1", IF(D16&gt;=70, "A", IF(D16&gt;=65, "B", IF(D16&gt;=45, "C", "---"))))</f>
        <v>A-1</v>
      </c>
      <c r="F16" s="162">
        <v>49</v>
      </c>
      <c r="G16" s="162" t="str">
        <f>IF(F16&gt;=90,"A+",IF(F16&gt;=80,"A",IF(F16&gt;=70,"B",IF(F16&gt;=60,"C",IF(F16&gt;=50,"D","---")))))</f>
        <v>---</v>
      </c>
      <c r="H16" s="142" t="s">
        <v>489</v>
      </c>
      <c r="I16" s="142">
        <v>81</v>
      </c>
      <c r="J16" s="7" t="str">
        <f t="shared" si="3"/>
        <v>A-1</v>
      </c>
      <c r="L16" s="7" t="s">
        <v>41</v>
      </c>
      <c r="M16" s="7" t="str">
        <f t="shared" ref="M16:M23" si="4">IF(L16="A", "Apple", IF(L16="B", "Banana", IF(L16="C", "Cat", IF(L16="D", "Go Nawaz Go", "Go Zardari Go"))))</f>
        <v>Banana</v>
      </c>
    </row>
    <row r="17" spans="2:13" ht="15" customHeight="1" x14ac:dyDescent="0.25">
      <c r="B17" s="232"/>
      <c r="D17" s="7">
        <v>85</v>
      </c>
      <c r="E17" s="7" t="str">
        <f t="shared" ref="E17:E31" si="5">IF(D17&gt;=80, "A-1", IF(D17&gt;=70, "A", IF(D17&gt;=65, "B", IF(D17&gt;=45, "C", "---"))))</f>
        <v>A-1</v>
      </c>
      <c r="F17" s="7">
        <v>80</v>
      </c>
      <c r="G17" s="7" t="str">
        <f>IF(F17&gt;=80,"A","")</f>
        <v>A</v>
      </c>
      <c r="H17" s="142" t="s">
        <v>490</v>
      </c>
      <c r="I17" s="142">
        <v>100</v>
      </c>
      <c r="J17" s="7" t="str">
        <f t="shared" si="3"/>
        <v>A-1</v>
      </c>
      <c r="L17" s="7" t="s">
        <v>42</v>
      </c>
      <c r="M17" s="7" t="str">
        <f t="shared" si="4"/>
        <v>Cat</v>
      </c>
    </row>
    <row r="18" spans="2:13" ht="15" customHeight="1" x14ac:dyDescent="0.25">
      <c r="B18" s="232"/>
      <c r="D18" s="7">
        <v>80</v>
      </c>
      <c r="E18" s="7" t="str">
        <f t="shared" si="5"/>
        <v>A-1</v>
      </c>
      <c r="F18" s="7">
        <v>70</v>
      </c>
      <c r="G18" s="7" t="str">
        <f>IF(F18&gt;=70,"B","")</f>
        <v>B</v>
      </c>
      <c r="H18" s="142" t="s">
        <v>491</v>
      </c>
      <c r="I18" s="142">
        <v>79</v>
      </c>
      <c r="J18" s="7" t="str">
        <f t="shared" si="3"/>
        <v>A</v>
      </c>
      <c r="L18" s="7" t="s">
        <v>43</v>
      </c>
      <c r="M18" s="7" t="str">
        <f t="shared" si="4"/>
        <v>Go Nawaz Go</v>
      </c>
    </row>
    <row r="19" spans="2:13" ht="15" customHeight="1" x14ac:dyDescent="0.25">
      <c r="B19" s="232"/>
      <c r="D19" s="7">
        <v>78</v>
      </c>
      <c r="E19" s="7" t="str">
        <f t="shared" si="5"/>
        <v>A</v>
      </c>
      <c r="F19" s="7">
        <v>60</v>
      </c>
      <c r="G19" s="7" t="str">
        <f>IF(F19&gt;=60,"C","")</f>
        <v>C</v>
      </c>
      <c r="H19" s="142" t="s">
        <v>492</v>
      </c>
      <c r="I19" s="142">
        <v>79.989999999999995</v>
      </c>
      <c r="J19" s="7" t="str">
        <f t="shared" si="3"/>
        <v>A</v>
      </c>
      <c r="L19" s="7" t="s">
        <v>40</v>
      </c>
      <c r="M19" s="7" t="str">
        <f t="shared" si="4"/>
        <v>Apple</v>
      </c>
    </row>
    <row r="20" spans="2:13" ht="15" customHeight="1" x14ac:dyDescent="0.25">
      <c r="B20" s="232"/>
      <c r="D20" s="7">
        <v>79</v>
      </c>
      <c r="E20" s="7" t="str">
        <f t="shared" si="5"/>
        <v>A</v>
      </c>
      <c r="F20" s="7">
        <v>50</v>
      </c>
      <c r="G20" s="7" t="str">
        <f>IF(F20&gt;=50,"D","")</f>
        <v>D</v>
      </c>
      <c r="H20" s="142"/>
      <c r="I20" s="142">
        <v>70</v>
      </c>
      <c r="J20" s="7" t="str">
        <f t="shared" si="3"/>
        <v>A</v>
      </c>
      <c r="L20" s="7" t="s">
        <v>41</v>
      </c>
      <c r="M20" s="7" t="str">
        <f t="shared" si="4"/>
        <v>Banana</v>
      </c>
    </row>
    <row r="21" spans="2:13" ht="15" customHeight="1" x14ac:dyDescent="0.25">
      <c r="B21" s="232"/>
      <c r="D21" s="7">
        <v>65</v>
      </c>
      <c r="E21" s="7" t="str">
        <f t="shared" si="5"/>
        <v>B</v>
      </c>
      <c r="F21" s="7">
        <v>49</v>
      </c>
      <c r="G21" s="7" t="str">
        <f>IF(F21&gt;=0,"---","")</f>
        <v>---</v>
      </c>
      <c r="H21" s="142"/>
      <c r="I21" s="142">
        <v>69.989999999999995</v>
      </c>
      <c r="J21" s="7" t="str">
        <f t="shared" si="3"/>
        <v>B</v>
      </c>
      <c r="L21" s="7" t="s">
        <v>42</v>
      </c>
      <c r="M21" s="7" t="str">
        <f t="shared" si="4"/>
        <v>Cat</v>
      </c>
    </row>
    <row r="22" spans="2:13" ht="15" customHeight="1" x14ac:dyDescent="0.25">
      <c r="B22" s="232"/>
      <c r="D22" s="7">
        <v>50</v>
      </c>
      <c r="E22" s="7" t="str">
        <f t="shared" si="5"/>
        <v>C</v>
      </c>
      <c r="F22" s="7" t="s">
        <v>443</v>
      </c>
      <c r="G22" s="7"/>
      <c r="H22" s="142"/>
      <c r="I22" s="142">
        <v>45</v>
      </c>
      <c r="J22" s="7" t="str">
        <f t="shared" si="3"/>
        <v>C</v>
      </c>
      <c r="L22" s="7" t="s">
        <v>43</v>
      </c>
      <c r="M22" s="7" t="str">
        <f t="shared" si="4"/>
        <v>Go Nawaz Go</v>
      </c>
    </row>
    <row r="23" spans="2:13" ht="15" customHeight="1" x14ac:dyDescent="0.25">
      <c r="B23" s="232"/>
      <c r="D23" s="7">
        <v>40</v>
      </c>
      <c r="E23" s="7" t="str">
        <f t="shared" si="5"/>
        <v>---</v>
      </c>
      <c r="F23" s="7"/>
      <c r="G23" s="7" t="str">
        <f t="shared" ref="G23:G30" si="6">IF(F23&gt;=90,"A+","")</f>
        <v/>
      </c>
      <c r="H23" s="142"/>
      <c r="I23" s="142">
        <v>35</v>
      </c>
      <c r="J23" s="7" t="str">
        <f t="shared" si="3"/>
        <v>Idiot</v>
      </c>
      <c r="L23" s="7" t="s">
        <v>44</v>
      </c>
      <c r="M23" s="7" t="str">
        <f t="shared" si="4"/>
        <v>Go Zardari Go</v>
      </c>
    </row>
    <row r="24" spans="2:13" ht="15" customHeight="1" x14ac:dyDescent="0.25">
      <c r="B24" s="232"/>
      <c r="D24" s="7">
        <v>48</v>
      </c>
      <c r="E24" s="7" t="str">
        <f t="shared" si="5"/>
        <v>C</v>
      </c>
      <c r="F24" s="7"/>
      <c r="G24" s="7" t="str">
        <f t="shared" si="6"/>
        <v/>
      </c>
      <c r="H24" s="36"/>
    </row>
    <row r="25" spans="2:13" x14ac:dyDescent="0.25">
      <c r="D25" s="7">
        <v>90</v>
      </c>
      <c r="E25" s="7" t="str">
        <f t="shared" si="5"/>
        <v>A-1</v>
      </c>
      <c r="F25" s="7"/>
      <c r="G25" s="7" t="str">
        <f t="shared" si="6"/>
        <v/>
      </c>
      <c r="H25" s="36"/>
    </row>
    <row r="26" spans="2:13" x14ac:dyDescent="0.25">
      <c r="D26" s="7">
        <v>78</v>
      </c>
      <c r="E26" s="7" t="str">
        <f t="shared" si="5"/>
        <v>A</v>
      </c>
      <c r="F26" s="7"/>
      <c r="G26" s="7" t="str">
        <f t="shared" si="6"/>
        <v/>
      </c>
      <c r="H26" s="36"/>
    </row>
    <row r="27" spans="2:13" x14ac:dyDescent="0.25">
      <c r="D27" s="7">
        <v>70</v>
      </c>
      <c r="E27" s="7" t="str">
        <f t="shared" si="5"/>
        <v>A</v>
      </c>
      <c r="F27" s="7"/>
      <c r="G27" s="7" t="str">
        <f t="shared" si="6"/>
        <v/>
      </c>
      <c r="H27" s="36"/>
    </row>
    <row r="28" spans="2:13" x14ac:dyDescent="0.25">
      <c r="B28" t="s">
        <v>241</v>
      </c>
      <c r="D28" s="7">
        <v>65</v>
      </c>
      <c r="E28" s="7" t="str">
        <f t="shared" si="5"/>
        <v>B</v>
      </c>
      <c r="F28" s="7"/>
      <c r="G28" s="7" t="str">
        <f t="shared" si="6"/>
        <v/>
      </c>
      <c r="H28" s="36"/>
    </row>
    <row r="29" spans="2:13" x14ac:dyDescent="0.25">
      <c r="B29" t="s">
        <v>242</v>
      </c>
      <c r="D29" s="7">
        <v>68</v>
      </c>
      <c r="E29" s="7" t="str">
        <f t="shared" si="5"/>
        <v>B</v>
      </c>
      <c r="F29" s="7"/>
      <c r="G29" s="7" t="str">
        <f t="shared" si="6"/>
        <v/>
      </c>
      <c r="H29" s="36"/>
    </row>
    <row r="30" spans="2:13" x14ac:dyDescent="0.25">
      <c r="D30" s="7">
        <v>45</v>
      </c>
      <c r="E30" s="7" t="str">
        <f t="shared" si="5"/>
        <v>C</v>
      </c>
      <c r="F30" s="7"/>
      <c r="G30" s="7" t="str">
        <f t="shared" si="6"/>
        <v/>
      </c>
      <c r="H30" s="36"/>
    </row>
    <row r="31" spans="2:13" x14ac:dyDescent="0.25">
      <c r="D31" s="7">
        <v>75</v>
      </c>
      <c r="E31" s="7" t="str">
        <f t="shared" si="5"/>
        <v>A</v>
      </c>
      <c r="F31" s="7"/>
      <c r="G31" s="7">
        <v>80</v>
      </c>
      <c r="H31" s="36"/>
    </row>
    <row r="33" spans="2:7" ht="21" x14ac:dyDescent="0.35">
      <c r="D33" s="237" t="s">
        <v>193</v>
      </c>
      <c r="E33" s="238"/>
      <c r="F33" s="243" t="s">
        <v>493</v>
      </c>
      <c r="G33" s="244"/>
    </row>
    <row r="34" spans="2:7" ht="15.75" x14ac:dyDescent="0.25">
      <c r="D34" s="22" t="s">
        <v>194</v>
      </c>
      <c r="E34" s="22" t="s">
        <v>34</v>
      </c>
      <c r="F34" s="164" t="s">
        <v>194</v>
      </c>
      <c r="G34" s="164" t="s">
        <v>34</v>
      </c>
    </row>
    <row r="35" spans="2:7" x14ac:dyDescent="0.25">
      <c r="B35" t="s">
        <v>195</v>
      </c>
      <c r="D35" s="7" t="s">
        <v>195</v>
      </c>
      <c r="E35" s="7">
        <f>IF(D35="Tea",50,IF(D35="Burger",120,IF(D35="Barbeque",170,IF(D35="Biryani",120,0))))</f>
        <v>50</v>
      </c>
      <c r="F35" s="7" t="s">
        <v>497</v>
      </c>
      <c r="G35" s="7" t="str">
        <f>IF(F35="Tea",80,"0")</f>
        <v>0</v>
      </c>
    </row>
    <row r="36" spans="2:7" x14ac:dyDescent="0.25">
      <c r="B36" t="s">
        <v>198</v>
      </c>
      <c r="D36" s="7" t="s">
        <v>198</v>
      </c>
      <c r="E36" s="7">
        <f t="shared" ref="E36:E46" si="7">IF(D36="Tea",50,IF(D36="Burger",120,IF(D36="Barbeque",170,IF(D36="Biryani",120,0))))</f>
        <v>120</v>
      </c>
      <c r="F36" s="7" t="s">
        <v>196</v>
      </c>
      <c r="G36" s="7" t="str">
        <f>IF(F36="Biryani",250,"0")</f>
        <v>0</v>
      </c>
    </row>
    <row r="37" spans="2:7" x14ac:dyDescent="0.25">
      <c r="B37" t="s">
        <v>197</v>
      </c>
      <c r="D37" s="7" t="s">
        <v>197</v>
      </c>
      <c r="E37" s="7">
        <f t="shared" si="7"/>
        <v>170</v>
      </c>
      <c r="F37" s="7" t="s">
        <v>498</v>
      </c>
      <c r="G37" s="7" t="str">
        <f>IF(F37="Barbeque",550,"0")</f>
        <v>0</v>
      </c>
    </row>
    <row r="38" spans="2:7" x14ac:dyDescent="0.25">
      <c r="B38" t="s">
        <v>196</v>
      </c>
      <c r="D38" s="7" t="s">
        <v>196</v>
      </c>
      <c r="E38" s="7">
        <f t="shared" si="7"/>
        <v>120</v>
      </c>
      <c r="F38" s="7"/>
      <c r="G38" s="7" t="str">
        <f>IF(F38="Burger",280,"0")</f>
        <v>0</v>
      </c>
    </row>
    <row r="39" spans="2:7" x14ac:dyDescent="0.25">
      <c r="B39" t="s">
        <v>495</v>
      </c>
      <c r="D39" s="7" t="s">
        <v>196</v>
      </c>
      <c r="E39" s="7">
        <f t="shared" si="7"/>
        <v>120</v>
      </c>
      <c r="F39" s="7"/>
      <c r="G39" s="7" t="str">
        <f t="shared" ref="G39:G46" si="8">IF(F39="Tea",80,"0")</f>
        <v>0</v>
      </c>
    </row>
    <row r="40" spans="2:7" x14ac:dyDescent="0.25">
      <c r="B40" t="s">
        <v>496</v>
      </c>
      <c r="D40" s="7"/>
      <c r="E40" s="7">
        <f t="shared" si="7"/>
        <v>0</v>
      </c>
      <c r="F40" s="7"/>
      <c r="G40" s="7" t="str">
        <f t="shared" si="8"/>
        <v>0</v>
      </c>
    </row>
    <row r="41" spans="2:7" x14ac:dyDescent="0.25">
      <c r="B41" t="s">
        <v>497</v>
      </c>
      <c r="D41" s="7"/>
      <c r="E41" s="7">
        <f t="shared" si="7"/>
        <v>0</v>
      </c>
      <c r="F41" s="7"/>
      <c r="G41" s="7" t="str">
        <f t="shared" si="8"/>
        <v>0</v>
      </c>
    </row>
    <row r="42" spans="2:7" x14ac:dyDescent="0.25">
      <c r="B42" t="s">
        <v>498</v>
      </c>
      <c r="D42" s="7"/>
      <c r="E42" s="7">
        <f t="shared" si="7"/>
        <v>0</v>
      </c>
      <c r="F42" s="7"/>
      <c r="G42" s="7" t="str">
        <f t="shared" si="8"/>
        <v>0</v>
      </c>
    </row>
    <row r="43" spans="2:7" x14ac:dyDescent="0.25">
      <c r="B43" t="s">
        <v>499</v>
      </c>
      <c r="D43" s="7"/>
      <c r="E43" s="7">
        <f t="shared" si="7"/>
        <v>0</v>
      </c>
      <c r="F43" s="7"/>
      <c r="G43" s="7" t="str">
        <f t="shared" si="8"/>
        <v>0</v>
      </c>
    </row>
    <row r="44" spans="2:7" x14ac:dyDescent="0.25">
      <c r="B44" t="s">
        <v>500</v>
      </c>
      <c r="D44" s="7"/>
      <c r="E44" s="7">
        <f t="shared" si="7"/>
        <v>0</v>
      </c>
      <c r="F44" s="7"/>
      <c r="G44" s="7" t="str">
        <f t="shared" si="8"/>
        <v>0</v>
      </c>
    </row>
    <row r="45" spans="2:7" x14ac:dyDescent="0.25">
      <c r="D45" s="7"/>
      <c r="E45" s="7">
        <f t="shared" si="7"/>
        <v>0</v>
      </c>
      <c r="F45" s="7"/>
      <c r="G45" s="7" t="str">
        <f t="shared" si="8"/>
        <v>0</v>
      </c>
    </row>
    <row r="46" spans="2:7" x14ac:dyDescent="0.25">
      <c r="D46" s="7"/>
      <c r="E46" s="7">
        <f t="shared" si="7"/>
        <v>0</v>
      </c>
      <c r="F46" s="7"/>
      <c r="G46" s="7" t="str">
        <f t="shared" si="8"/>
        <v>0</v>
      </c>
    </row>
    <row r="47" spans="2:7" ht="21" x14ac:dyDescent="0.25">
      <c r="D47" s="22" t="s">
        <v>37</v>
      </c>
      <c r="E47" s="22">
        <f>SUM(E35:E46)</f>
        <v>580</v>
      </c>
      <c r="F47" s="163" t="s">
        <v>494</v>
      </c>
      <c r="G47" s="165">
        <f>SUM(G35:G46)</f>
        <v>0</v>
      </c>
    </row>
    <row r="49" spans="4:5" x14ac:dyDescent="0.25">
      <c r="D49" s="240" t="s">
        <v>199</v>
      </c>
      <c r="E49" s="241"/>
    </row>
    <row r="50" spans="4:5" x14ac:dyDescent="0.25">
      <c r="D50" s="19" t="s">
        <v>38</v>
      </c>
      <c r="E50" s="19" t="s">
        <v>39</v>
      </c>
    </row>
    <row r="51" spans="4:5" x14ac:dyDescent="0.25">
      <c r="D51" s="7" t="s">
        <v>40</v>
      </c>
      <c r="E51" s="7" t="str">
        <f>IF(D51="A","Apple",IF(D51="B","Banana","---"))</f>
        <v>Apple</v>
      </c>
    </row>
    <row r="52" spans="4:5" x14ac:dyDescent="0.25">
      <c r="D52" s="7" t="s">
        <v>41</v>
      </c>
      <c r="E52" s="7" t="str">
        <f t="shared" ref="E52:E59" si="9">IF(D52="A","Apple",IF(D52="B","Banana","---"))</f>
        <v>Banana</v>
      </c>
    </row>
    <row r="53" spans="4:5" x14ac:dyDescent="0.25">
      <c r="D53" s="7" t="s">
        <v>42</v>
      </c>
      <c r="E53" s="7" t="str">
        <f t="shared" si="9"/>
        <v>---</v>
      </c>
    </row>
    <row r="54" spans="4:5" x14ac:dyDescent="0.25">
      <c r="D54" s="7" t="s">
        <v>43</v>
      </c>
      <c r="E54" s="7" t="str">
        <f t="shared" si="9"/>
        <v>---</v>
      </c>
    </row>
    <row r="55" spans="4:5" x14ac:dyDescent="0.25">
      <c r="D55" s="7" t="s">
        <v>40</v>
      </c>
      <c r="E55" s="7" t="str">
        <f t="shared" si="9"/>
        <v>Apple</v>
      </c>
    </row>
    <row r="56" spans="4:5" x14ac:dyDescent="0.25">
      <c r="D56" s="7" t="s">
        <v>41</v>
      </c>
      <c r="E56" s="7" t="str">
        <f t="shared" si="9"/>
        <v>Banana</v>
      </c>
    </row>
    <row r="57" spans="4:5" x14ac:dyDescent="0.25">
      <c r="D57" s="7" t="s">
        <v>42</v>
      </c>
      <c r="E57" s="7" t="str">
        <f t="shared" si="9"/>
        <v>---</v>
      </c>
    </row>
    <row r="58" spans="4:5" x14ac:dyDescent="0.25">
      <c r="D58" s="7" t="s">
        <v>43</v>
      </c>
      <c r="E58" s="7" t="str">
        <f t="shared" si="9"/>
        <v>---</v>
      </c>
    </row>
    <row r="59" spans="4:5" x14ac:dyDescent="0.25">
      <c r="D59" s="7" t="s">
        <v>200</v>
      </c>
      <c r="E59" s="7" t="str">
        <f t="shared" si="9"/>
        <v>---</v>
      </c>
    </row>
    <row r="60" spans="4:5" x14ac:dyDescent="0.25">
      <c r="D60" s="7"/>
      <c r="E60" s="7"/>
    </row>
  </sheetData>
  <customSheetViews>
    <customSheetView guid="{D6BA57A5-118E-4B58-A351-7E1C36DA5B56}" topLeftCell="A28">
      <selection activeCell="H39" sqref="H39"/>
      <pageMargins left="0.7" right="0.7" top="0.75" bottom="0.75" header="0.3" footer="0.3"/>
      <pageSetup orientation="portrait" horizontalDpi="300" verticalDpi="300" r:id="rId1"/>
    </customSheetView>
    <customSheetView guid="{05B8E57A-BB97-41F0-B6FB-606E79293C77}">
      <pageMargins left="0.7" right="0.7" top="0.75" bottom="0.75" header="0.3" footer="0.3"/>
      <pageSetup orientation="portrait" horizontalDpi="300" verticalDpi="300" r:id="rId2"/>
    </customSheetView>
    <customSheetView guid="{3C013989-8552-4FE1-BB7E-C88994E2D13D}" topLeftCell="A28">
      <selection activeCell="H39" sqref="H39"/>
      <pageMargins left="0.7" right="0.7" top="0.75" bottom="0.75" header="0.3" footer="0.3"/>
      <pageSetup orientation="portrait" horizontalDpi="300" verticalDpi="300" r:id="rId3"/>
    </customSheetView>
    <customSheetView guid="{75B547B5-834C-4784-8C45-4C35B93C736F}" topLeftCell="A28">
      <selection activeCell="H39" sqref="H39"/>
      <pageMargins left="0.7" right="0.7" top="0.75" bottom="0.75" header="0.3" footer="0.3"/>
      <pageSetup orientation="portrait" horizontalDpi="300" verticalDpi="300" r:id="rId4"/>
    </customSheetView>
  </customSheetViews>
  <mergeCells count="12">
    <mergeCell ref="L1:M1"/>
    <mergeCell ref="L13:M13"/>
    <mergeCell ref="D33:E33"/>
    <mergeCell ref="F1:G1"/>
    <mergeCell ref="D49:E49"/>
    <mergeCell ref="D1:E1"/>
    <mergeCell ref="F33:G33"/>
    <mergeCell ref="B16:B24"/>
    <mergeCell ref="D14:E14"/>
    <mergeCell ref="I1:J1"/>
    <mergeCell ref="I13:J13"/>
    <mergeCell ref="F14:G14"/>
  </mergeCells>
  <dataValidations count="1">
    <dataValidation type="list" allowBlank="1" showInputMessage="1" showErrorMessage="1" sqref="F35:F46" xr:uid="{00000000-0002-0000-0500-000000000000}">
      <formula1>$B$35:$B$44</formula1>
    </dataValidation>
  </dataValidations>
  <pageMargins left="0.7" right="0.7" top="0.75" bottom="0.75" header="0.3" footer="0.3"/>
  <pageSetup orientation="portrait" horizontalDpi="300" verticalDpi="300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L30"/>
  <sheetViews>
    <sheetView workbookViewId="0">
      <selection activeCell="E3" sqref="E3"/>
    </sheetView>
  </sheetViews>
  <sheetFormatPr defaultRowHeight="15" x14ac:dyDescent="0.25"/>
  <cols>
    <col min="1" max="1" width="32.5703125" customWidth="1"/>
    <col min="2" max="2" width="15.140625" customWidth="1"/>
    <col min="3" max="3" width="14.85546875" customWidth="1"/>
    <col min="4" max="4" width="4.42578125" customWidth="1"/>
    <col min="5" max="5" width="27.140625" customWidth="1"/>
    <col min="6" max="6" width="19.28515625" customWidth="1"/>
    <col min="7" max="7" width="21.7109375" customWidth="1"/>
  </cols>
  <sheetData>
    <row r="1" spans="1:12" x14ac:dyDescent="0.25">
      <c r="A1" s="245" t="s">
        <v>48</v>
      </c>
      <c r="B1" s="245"/>
      <c r="C1" s="245"/>
      <c r="E1" s="248" t="s">
        <v>539</v>
      </c>
      <c r="F1" s="249"/>
      <c r="G1" s="250"/>
    </row>
    <row r="2" spans="1:12" x14ac:dyDescent="0.25">
      <c r="A2" s="10" t="s">
        <v>45</v>
      </c>
      <c r="B2" s="10" t="s">
        <v>46</v>
      </c>
      <c r="C2" s="10" t="s">
        <v>47</v>
      </c>
      <c r="E2" s="196" t="s">
        <v>45</v>
      </c>
      <c r="F2" s="10" t="s">
        <v>46</v>
      </c>
      <c r="G2" s="10" t="s">
        <v>47</v>
      </c>
    </row>
    <row r="3" spans="1:12" x14ac:dyDescent="0.25">
      <c r="A3" s="11">
        <v>45875</v>
      </c>
      <c r="B3" s="12">
        <v>5000</v>
      </c>
      <c r="C3" s="12">
        <v>1000</v>
      </c>
      <c r="E3" s="197" t="s">
        <v>541</v>
      </c>
      <c r="F3" s="17">
        <v>2020</v>
      </c>
      <c r="G3" s="17">
        <v>2291</v>
      </c>
    </row>
    <row r="4" spans="1:12" x14ac:dyDescent="0.25">
      <c r="A4" s="11">
        <v>45876</v>
      </c>
      <c r="B4" s="12">
        <v>9258</v>
      </c>
      <c r="C4" s="12">
        <v>435</v>
      </c>
      <c r="E4" s="197">
        <v>45940</v>
      </c>
      <c r="F4" s="17">
        <v>4639</v>
      </c>
      <c r="G4" s="17">
        <v>831</v>
      </c>
    </row>
    <row r="5" spans="1:12" x14ac:dyDescent="0.25">
      <c r="A5" s="11">
        <v>45877</v>
      </c>
      <c r="B5" s="12">
        <v>6474</v>
      </c>
      <c r="C5" s="12">
        <v>508</v>
      </c>
      <c r="E5" s="197">
        <v>45941</v>
      </c>
      <c r="F5" s="17">
        <v>4747</v>
      </c>
      <c r="G5" s="17">
        <v>2830</v>
      </c>
    </row>
    <row r="6" spans="1:12" x14ac:dyDescent="0.25">
      <c r="A6" s="11">
        <v>45878</v>
      </c>
      <c r="B6" s="12">
        <v>4574</v>
      </c>
      <c r="C6" s="12">
        <v>721</v>
      </c>
      <c r="E6" s="197">
        <v>45942</v>
      </c>
      <c r="F6" s="17">
        <v>2255</v>
      </c>
      <c r="G6" s="17">
        <v>1457</v>
      </c>
    </row>
    <row r="7" spans="1:12" x14ac:dyDescent="0.25">
      <c r="A7" s="11">
        <v>45879</v>
      </c>
      <c r="B7" s="12">
        <v>7655</v>
      </c>
      <c r="C7" s="12">
        <v>690</v>
      </c>
      <c r="E7" s="197">
        <v>45943</v>
      </c>
      <c r="F7" s="17">
        <v>2219</v>
      </c>
      <c r="G7" s="17">
        <v>1300</v>
      </c>
      <c r="L7" t="s">
        <v>540</v>
      </c>
    </row>
    <row r="8" spans="1:12" x14ac:dyDescent="0.25">
      <c r="A8" s="11">
        <v>45880</v>
      </c>
      <c r="B8" s="12">
        <v>7881</v>
      </c>
      <c r="C8" s="12">
        <v>656</v>
      </c>
      <c r="E8" s="197">
        <v>45944</v>
      </c>
      <c r="F8" s="17">
        <v>2867</v>
      </c>
      <c r="G8" s="17">
        <v>1853</v>
      </c>
    </row>
    <row r="9" spans="1:12" x14ac:dyDescent="0.25">
      <c r="A9" s="11">
        <v>45881</v>
      </c>
      <c r="B9" s="12">
        <v>7835</v>
      </c>
      <c r="C9" s="12">
        <v>335</v>
      </c>
      <c r="E9" s="197">
        <v>45945</v>
      </c>
      <c r="F9" s="17">
        <v>5724</v>
      </c>
      <c r="G9" s="17">
        <v>1396</v>
      </c>
    </row>
    <row r="10" spans="1:12" x14ac:dyDescent="0.25">
      <c r="A10" s="11">
        <v>45882</v>
      </c>
      <c r="B10" s="12">
        <v>7291</v>
      </c>
      <c r="C10" s="12">
        <v>733</v>
      </c>
      <c r="E10" s="197">
        <v>45946</v>
      </c>
      <c r="F10" s="17">
        <v>7223</v>
      </c>
      <c r="G10" s="17">
        <v>1745</v>
      </c>
    </row>
    <row r="11" spans="1:12" x14ac:dyDescent="0.25">
      <c r="A11" s="11">
        <v>45883</v>
      </c>
      <c r="B11" s="12">
        <v>4587</v>
      </c>
      <c r="C11" s="12">
        <v>714</v>
      </c>
      <c r="E11" s="197">
        <v>45947</v>
      </c>
      <c r="F11" s="17">
        <v>7490</v>
      </c>
      <c r="G11" s="17">
        <v>564</v>
      </c>
    </row>
    <row r="12" spans="1:12" x14ac:dyDescent="0.25">
      <c r="A12" s="11">
        <v>45884</v>
      </c>
      <c r="B12" s="12">
        <v>4702</v>
      </c>
      <c r="C12" s="12">
        <v>520</v>
      </c>
      <c r="E12" s="197">
        <v>45948</v>
      </c>
      <c r="F12" s="17">
        <v>8000</v>
      </c>
      <c r="G12" s="17">
        <v>860</v>
      </c>
    </row>
    <row r="13" spans="1:12" x14ac:dyDescent="0.25">
      <c r="A13" s="11">
        <v>45885</v>
      </c>
      <c r="B13" s="12">
        <v>8867</v>
      </c>
      <c r="C13" s="12">
        <v>838</v>
      </c>
      <c r="E13" s="197">
        <v>45949</v>
      </c>
      <c r="F13" s="17">
        <v>7668</v>
      </c>
      <c r="G13" s="17">
        <v>2127</v>
      </c>
    </row>
    <row r="14" spans="1:12" x14ac:dyDescent="0.25">
      <c r="A14" s="11">
        <v>45886</v>
      </c>
      <c r="B14" s="12">
        <v>5441</v>
      </c>
      <c r="C14" s="12">
        <v>320</v>
      </c>
      <c r="E14" s="197">
        <v>45950</v>
      </c>
      <c r="F14" s="17">
        <v>5930</v>
      </c>
      <c r="G14" s="17">
        <v>1540</v>
      </c>
    </row>
    <row r="15" spans="1:12" x14ac:dyDescent="0.25">
      <c r="A15" s="11">
        <v>45887</v>
      </c>
      <c r="B15" s="12">
        <v>9964</v>
      </c>
      <c r="C15" s="12">
        <v>810</v>
      </c>
      <c r="E15" s="197">
        <v>45951</v>
      </c>
      <c r="F15" s="17">
        <v>3276</v>
      </c>
      <c r="G15" s="17">
        <v>356</v>
      </c>
    </row>
    <row r="16" spans="1:12" x14ac:dyDescent="0.25">
      <c r="A16" s="11">
        <v>45888</v>
      </c>
      <c r="B16" s="12">
        <v>3204</v>
      </c>
      <c r="C16" s="12">
        <v>346</v>
      </c>
      <c r="E16" s="197">
        <v>45952</v>
      </c>
      <c r="F16" s="17">
        <v>8344</v>
      </c>
      <c r="G16" s="17">
        <v>2588</v>
      </c>
    </row>
    <row r="17" spans="1:7" x14ac:dyDescent="0.25">
      <c r="A17" s="11">
        <v>45889</v>
      </c>
      <c r="B17" s="12">
        <v>4261</v>
      </c>
      <c r="C17" s="12">
        <v>993</v>
      </c>
      <c r="E17" s="197">
        <v>45953</v>
      </c>
      <c r="F17" s="17">
        <v>7600</v>
      </c>
      <c r="G17" s="17">
        <v>1550</v>
      </c>
    </row>
    <row r="18" spans="1:7" x14ac:dyDescent="0.25">
      <c r="A18" s="10" t="s">
        <v>37</v>
      </c>
      <c r="B18" s="13">
        <f>SUM(B3:B17)</f>
        <v>96994</v>
      </c>
      <c r="C18" s="13">
        <f>SUM(C3:C17)</f>
        <v>9619</v>
      </c>
      <c r="E18" s="198" t="s">
        <v>37</v>
      </c>
      <c r="F18" s="195">
        <f>SUM(F3:F17)</f>
        <v>80002</v>
      </c>
      <c r="G18" s="195">
        <f>SUM(G3:G17)</f>
        <v>23288</v>
      </c>
    </row>
    <row r="19" spans="1:7" ht="21" x14ac:dyDescent="0.35">
      <c r="A19" s="8" t="s">
        <v>49</v>
      </c>
      <c r="B19" s="246">
        <f>B18-C18</f>
        <v>87375</v>
      </c>
      <c r="C19" s="247"/>
      <c r="E19" s="194" t="s">
        <v>49</v>
      </c>
      <c r="F19" s="251">
        <f>F18-G18</f>
        <v>56714</v>
      </c>
      <c r="G19" s="244"/>
    </row>
    <row r="23" spans="1:7" x14ac:dyDescent="0.25">
      <c r="A23" t="s">
        <v>112</v>
      </c>
    </row>
    <row r="24" spans="1:7" x14ac:dyDescent="0.25">
      <c r="A24" t="s">
        <v>113</v>
      </c>
    </row>
    <row r="25" spans="1:7" x14ac:dyDescent="0.25">
      <c r="A25" t="s">
        <v>114</v>
      </c>
    </row>
    <row r="27" spans="1:7" x14ac:dyDescent="0.25">
      <c r="A27" t="s">
        <v>115</v>
      </c>
      <c r="B27" t="str">
        <f>PROPER(A27)</f>
        <v>Imran Khan</v>
      </c>
      <c r="C27" t="str">
        <f>LOWER(A27)</f>
        <v>imran khan</v>
      </c>
      <c r="D27">
        <f>LEN(A27)</f>
        <v>10</v>
      </c>
    </row>
    <row r="28" spans="1:7" x14ac:dyDescent="0.25">
      <c r="A28" t="s">
        <v>116</v>
      </c>
      <c r="B28" t="str">
        <f t="shared" ref="B28:B30" si="0">PROPER(A28)</f>
        <v>Gul Khan</v>
      </c>
      <c r="C28" t="str">
        <f t="shared" ref="C28:C30" si="1">LOWER(A28)</f>
        <v>gul khan</v>
      </c>
      <c r="D28">
        <f t="shared" ref="D28:D30" si="2">LEN(A28)</f>
        <v>8</v>
      </c>
    </row>
    <row r="29" spans="1:7" x14ac:dyDescent="0.25">
      <c r="A29" t="s">
        <v>117</v>
      </c>
      <c r="B29" t="str">
        <f t="shared" si="0"/>
        <v>Jamal Khan</v>
      </c>
      <c r="C29" t="str">
        <f t="shared" si="1"/>
        <v>jamal khan</v>
      </c>
      <c r="D29">
        <f t="shared" si="2"/>
        <v>10</v>
      </c>
    </row>
    <row r="30" spans="1:7" x14ac:dyDescent="0.25">
      <c r="A30" t="s">
        <v>118</v>
      </c>
      <c r="B30" t="str">
        <f t="shared" si="0"/>
        <v>Kamal Khan Afridi</v>
      </c>
      <c r="C30" t="str">
        <f t="shared" si="1"/>
        <v>kamal khan afridi</v>
      </c>
      <c r="D30">
        <f t="shared" si="2"/>
        <v>17</v>
      </c>
    </row>
  </sheetData>
  <customSheetViews>
    <customSheetView guid="{D6BA57A5-118E-4B58-A351-7E1C36DA5B56}">
      <selection activeCell="E27" sqref="E27"/>
      <pageMargins left="0.7" right="0.7" top="0.75" bottom="0.75" header="0.3" footer="0.3"/>
      <pageSetup orientation="portrait" horizontalDpi="300" verticalDpi="300" r:id="rId1"/>
    </customSheetView>
    <customSheetView guid="{05B8E57A-BB97-41F0-B6FB-606E79293C77}">
      <selection activeCell="E27" sqref="E27"/>
      <pageMargins left="0.7" right="0.7" top="0.75" bottom="0.75" header="0.3" footer="0.3"/>
      <pageSetup orientation="portrait" horizontalDpi="300" verticalDpi="300" r:id="rId2"/>
    </customSheetView>
    <customSheetView guid="{3C013989-8552-4FE1-BB7E-C88994E2D13D}">
      <selection activeCell="E27" sqref="E27"/>
      <pageMargins left="0.7" right="0.7" top="0.75" bottom="0.75" header="0.3" footer="0.3"/>
      <pageSetup orientation="portrait" horizontalDpi="300" verticalDpi="300" r:id="rId3"/>
    </customSheetView>
    <customSheetView guid="{75B547B5-834C-4784-8C45-4C35B93C736F}">
      <selection activeCell="E27" sqref="E27"/>
      <pageMargins left="0.7" right="0.7" top="0.75" bottom="0.75" header="0.3" footer="0.3"/>
      <pageSetup orientation="portrait" horizontalDpi="300" verticalDpi="300" r:id="rId4"/>
    </customSheetView>
  </customSheetViews>
  <mergeCells count="4">
    <mergeCell ref="A1:C1"/>
    <mergeCell ref="B19:C19"/>
    <mergeCell ref="E1:G1"/>
    <mergeCell ref="F19:G19"/>
  </mergeCells>
  <pageMargins left="0.7" right="0.7" top="0.75" bottom="0.75" header="0.3" footer="0.3"/>
  <pageSetup orientation="portrait" horizontalDpi="300" verticalDpi="300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M142"/>
  <sheetViews>
    <sheetView zoomScale="85" zoomScaleNormal="85" workbookViewId="0">
      <selection activeCell="C5" sqref="C5"/>
    </sheetView>
  </sheetViews>
  <sheetFormatPr defaultRowHeight="15" x14ac:dyDescent="0.25"/>
  <cols>
    <col min="1" max="1" width="6.42578125" customWidth="1"/>
    <col min="2" max="2" width="13.140625" customWidth="1"/>
    <col min="3" max="3" width="13.85546875" customWidth="1"/>
    <col min="4" max="4" width="14.85546875" customWidth="1"/>
    <col min="5" max="5" width="21.28515625" bestFit="1" customWidth="1"/>
    <col min="6" max="7" width="19.42578125" bestFit="1" customWidth="1"/>
    <col min="8" max="8" width="15.28515625" customWidth="1"/>
    <col min="9" max="9" width="25.85546875" bestFit="1" customWidth="1"/>
    <col min="10" max="10" width="16.28515625" customWidth="1"/>
    <col min="13" max="13" width="106.28515625" bestFit="1" customWidth="1"/>
  </cols>
  <sheetData>
    <row r="1" spans="1:13" ht="30" x14ac:dyDescent="0.25">
      <c r="A1" s="14" t="s">
        <v>50</v>
      </c>
      <c r="B1" s="120" t="s">
        <v>0</v>
      </c>
      <c r="C1" s="120" t="s">
        <v>123</v>
      </c>
      <c r="D1" s="121" t="s">
        <v>52</v>
      </c>
      <c r="E1" s="121" t="s">
        <v>53</v>
      </c>
      <c r="F1" s="121" t="s">
        <v>54</v>
      </c>
      <c r="G1" s="121" t="s">
        <v>55</v>
      </c>
      <c r="H1" s="121" t="s">
        <v>56</v>
      </c>
      <c r="I1" s="121" t="s">
        <v>57</v>
      </c>
      <c r="J1" s="121" t="s">
        <v>58</v>
      </c>
      <c r="K1" s="121" t="s">
        <v>222</v>
      </c>
    </row>
    <row r="2" spans="1:13" ht="23.25" x14ac:dyDescent="0.35">
      <c r="A2" s="16">
        <v>101</v>
      </c>
      <c r="B2" s="15" t="s">
        <v>11</v>
      </c>
      <c r="C2" s="7" t="s">
        <v>40</v>
      </c>
      <c r="D2" s="17">
        <v>75000</v>
      </c>
      <c r="E2" s="17">
        <f>IF(C2="A", D2*30%, IF(C2="B", D2*25%, IF(C2="C", D2*20%, D2*15%)))</f>
        <v>22500</v>
      </c>
      <c r="F2" s="17">
        <f>IF(C2="A", D2*40%, IF(C2="B", D2*35%, IF(C2="C", D2*30%, D2*20%)))</f>
        <v>30000</v>
      </c>
      <c r="G2" s="17">
        <f>IF(C2="A",D2*50%,IF(C2="B",D2*40%,IF(C2="C",D2*30%,D2*20%)))</f>
        <v>37500</v>
      </c>
      <c r="H2" s="18">
        <f t="shared" ref="H2:H33" si="0">SUM(D2:G2)</f>
        <v>165000</v>
      </c>
      <c r="I2" s="18">
        <f>IF(H2&gt;=100000, H2*10%, 0)</f>
        <v>16500</v>
      </c>
      <c r="J2" s="18">
        <f t="shared" ref="J2:J33" si="1">H2-I2</f>
        <v>148500</v>
      </c>
      <c r="K2" s="18" t="s">
        <v>302</v>
      </c>
      <c r="M2" s="168" t="s">
        <v>528</v>
      </c>
    </row>
    <row r="3" spans="1:13" ht="31.5" x14ac:dyDescent="0.5">
      <c r="A3" s="39"/>
      <c r="B3" s="15" t="s">
        <v>62</v>
      </c>
      <c r="C3" s="7" t="s">
        <v>41</v>
      </c>
      <c r="D3" s="17">
        <v>34571.4285714285</v>
      </c>
      <c r="E3" s="17">
        <f>IF(C3="A", D3*30%, IF(C3="B", D3*25%, IF(C3="C", D3*20%, D3*15%)))</f>
        <v>8642.8571428571249</v>
      </c>
      <c r="F3" s="17">
        <f>IF(C3="A", D3*40%, IF(C3="B", D3*35%, IF(C3="C", D3*30%, D3*20%)))</f>
        <v>12099.999999999975</v>
      </c>
      <c r="G3" s="17">
        <f>IF(C3="A",D3*50%,IF(C3="B",D3*40%,IF(C3="C",D3*30%,D3*20%)))</f>
        <v>13828.5714285714</v>
      </c>
      <c r="H3" s="18">
        <f t="shared" si="0"/>
        <v>69142.857142856999</v>
      </c>
      <c r="I3" s="18">
        <f>IF(H3&gt;=100000, H3*10%, 0)</f>
        <v>0</v>
      </c>
      <c r="J3" s="18">
        <f t="shared" si="1"/>
        <v>69142.857142856999</v>
      </c>
      <c r="K3" s="18" t="s">
        <v>302</v>
      </c>
      <c r="M3" s="180" t="s">
        <v>529</v>
      </c>
    </row>
    <row r="4" spans="1:13" ht="23.25" x14ac:dyDescent="0.25">
      <c r="A4" s="16">
        <v>104</v>
      </c>
      <c r="B4" s="15" t="s">
        <v>60</v>
      </c>
      <c r="C4" s="7" t="s">
        <v>40</v>
      </c>
      <c r="D4" s="17">
        <v>60000</v>
      </c>
      <c r="E4" s="183">
        <f t="shared" ref="E4:E10" si="2">IF(C4="A",D4*50%,IF(C4="B",D4*35%,IF(C4="C",D4*25%,D4*15%)))</f>
        <v>30000</v>
      </c>
      <c r="F4" s="182">
        <f>IF(C4="A",D4*40%,IF(C4="B",D4*30%,IF(C4="C",D4*20%,D4*15%)))</f>
        <v>24000</v>
      </c>
      <c r="G4" s="182">
        <f>IF(C4="A",D4*50%,IF(C4="B",D4*35%,IF(C4="C",D4*25%,D4*15%)))</f>
        <v>30000</v>
      </c>
      <c r="H4" s="18">
        <f t="shared" si="0"/>
        <v>144000</v>
      </c>
      <c r="I4" s="184">
        <f>IF(H4&gt;=100000,H4*10%)</f>
        <v>14400</v>
      </c>
      <c r="J4" s="18">
        <f t="shared" si="1"/>
        <v>129600</v>
      </c>
      <c r="K4" s="18" t="s">
        <v>301</v>
      </c>
    </row>
    <row r="5" spans="1:13" ht="23.25" x14ac:dyDescent="0.25">
      <c r="A5" s="39"/>
      <c r="B5" s="15" t="s">
        <v>60</v>
      </c>
      <c r="C5" s="7" t="s">
        <v>41</v>
      </c>
      <c r="D5" s="17">
        <v>26714.285714285699</v>
      </c>
      <c r="E5" s="183">
        <f t="shared" si="2"/>
        <v>9349.9999999999945</v>
      </c>
      <c r="F5" s="17">
        <f t="shared" ref="F5:F31" si="3">IF(C5="A", D5*40%, IF(C5="B", D5*35%, IF(C5="C", D5*30%, D5*20%)))</f>
        <v>9349.9999999999945</v>
      </c>
      <c r="G5" s="17">
        <f t="shared" ref="G5:G31" si="4">IF(C5="A",D5*50%,IF(C5="B",D5*40%,IF(C5="C",D5*30%,D5*20%)))</f>
        <v>10685.714285714281</v>
      </c>
      <c r="H5" s="18">
        <f t="shared" si="0"/>
        <v>56099.999999999971</v>
      </c>
      <c r="I5" s="18">
        <f t="shared" ref="I5:I36" si="5">IF(H5&gt;=100000, H5*10%, 0)</f>
        <v>0</v>
      </c>
      <c r="J5" s="18">
        <f t="shared" si="1"/>
        <v>56099.999999999971</v>
      </c>
      <c r="K5" s="18" t="s">
        <v>301</v>
      </c>
    </row>
    <row r="6" spans="1:13" ht="23.25" x14ac:dyDescent="0.25">
      <c r="A6" s="39"/>
      <c r="B6" s="15" t="s">
        <v>60</v>
      </c>
      <c r="C6" s="7" t="s">
        <v>41</v>
      </c>
      <c r="D6" s="17">
        <v>37714.285714285703</v>
      </c>
      <c r="E6" s="183">
        <f t="shared" si="2"/>
        <v>13199.999999999995</v>
      </c>
      <c r="F6" s="17">
        <f t="shared" si="3"/>
        <v>13199.999999999995</v>
      </c>
      <c r="G6" s="17">
        <f t="shared" si="4"/>
        <v>15085.714285714283</v>
      </c>
      <c r="H6" s="18">
        <f t="shared" si="0"/>
        <v>79199.999999999971</v>
      </c>
      <c r="I6" s="18">
        <f t="shared" si="5"/>
        <v>0</v>
      </c>
      <c r="J6" s="18">
        <f t="shared" si="1"/>
        <v>79199.999999999971</v>
      </c>
      <c r="K6" s="18" t="s">
        <v>312</v>
      </c>
    </row>
    <row r="7" spans="1:13" ht="23.25" x14ac:dyDescent="0.25">
      <c r="A7" s="39"/>
      <c r="B7" s="15" t="s">
        <v>12</v>
      </c>
      <c r="C7" s="7" t="s">
        <v>42</v>
      </c>
      <c r="D7" s="17">
        <v>29857.1428571428</v>
      </c>
      <c r="E7" s="183">
        <f t="shared" si="2"/>
        <v>7464.2857142857001</v>
      </c>
      <c r="F7" s="17">
        <f t="shared" si="3"/>
        <v>8957.1428571428405</v>
      </c>
      <c r="G7" s="17">
        <f t="shared" si="4"/>
        <v>8957.1428571428405</v>
      </c>
      <c r="H7" s="18">
        <f t="shared" si="0"/>
        <v>55235.714285714181</v>
      </c>
      <c r="I7" s="18">
        <f t="shared" si="5"/>
        <v>0</v>
      </c>
      <c r="J7" s="18">
        <f t="shared" si="1"/>
        <v>55235.714285714181</v>
      </c>
      <c r="K7" s="18" t="s">
        <v>307</v>
      </c>
    </row>
    <row r="8" spans="1:13" ht="23.25" x14ac:dyDescent="0.25">
      <c r="A8" s="39"/>
      <c r="B8" s="15" t="s">
        <v>12</v>
      </c>
      <c r="C8" s="7" t="s">
        <v>42</v>
      </c>
      <c r="D8" s="17">
        <v>40857.142857142797</v>
      </c>
      <c r="E8" s="183">
        <f t="shared" si="2"/>
        <v>10214.285714285699</v>
      </c>
      <c r="F8" s="17">
        <f t="shared" si="3"/>
        <v>12257.142857142839</v>
      </c>
      <c r="G8" s="17">
        <f t="shared" si="4"/>
        <v>12257.142857142839</v>
      </c>
      <c r="H8" s="18">
        <f t="shared" si="0"/>
        <v>75585.714285714173</v>
      </c>
      <c r="I8" s="18">
        <f t="shared" si="5"/>
        <v>0</v>
      </c>
      <c r="J8" s="18">
        <f t="shared" si="1"/>
        <v>75585.714285714173</v>
      </c>
      <c r="K8" s="18" t="s">
        <v>297</v>
      </c>
    </row>
    <row r="9" spans="1:13" ht="23.25" x14ac:dyDescent="0.25">
      <c r="A9" s="16">
        <v>102</v>
      </c>
      <c r="B9" s="15" t="s">
        <v>12</v>
      </c>
      <c r="C9" s="7" t="s">
        <v>42</v>
      </c>
      <c r="D9" s="17">
        <v>75000</v>
      </c>
      <c r="E9" s="183">
        <f t="shared" si="2"/>
        <v>18750</v>
      </c>
      <c r="F9" s="17">
        <f t="shared" si="3"/>
        <v>22500</v>
      </c>
      <c r="G9" s="17">
        <f t="shared" si="4"/>
        <v>22500</v>
      </c>
      <c r="H9" s="18">
        <f t="shared" si="0"/>
        <v>138750</v>
      </c>
      <c r="I9" s="18">
        <f t="shared" si="5"/>
        <v>13875</v>
      </c>
      <c r="J9" s="18">
        <f t="shared" si="1"/>
        <v>124875</v>
      </c>
      <c r="K9" s="18" t="s">
        <v>303</v>
      </c>
    </row>
    <row r="10" spans="1:13" ht="23.25" x14ac:dyDescent="0.25">
      <c r="A10" s="16">
        <v>103</v>
      </c>
      <c r="B10" s="15" t="s">
        <v>59</v>
      </c>
      <c r="C10" s="7" t="s">
        <v>42</v>
      </c>
      <c r="D10" s="17">
        <v>11000</v>
      </c>
      <c r="E10" s="183">
        <f t="shared" si="2"/>
        <v>2750</v>
      </c>
      <c r="F10" s="17">
        <f t="shared" si="3"/>
        <v>3300</v>
      </c>
      <c r="G10" s="17">
        <f t="shared" si="4"/>
        <v>3300</v>
      </c>
      <c r="H10" s="18">
        <f t="shared" si="0"/>
        <v>20350</v>
      </c>
      <c r="I10" s="18">
        <f t="shared" si="5"/>
        <v>0</v>
      </c>
      <c r="J10" s="18">
        <f t="shared" si="1"/>
        <v>20350</v>
      </c>
      <c r="K10" s="18" t="s">
        <v>293</v>
      </c>
      <c r="M10">
        <f>18000*10%</f>
        <v>1800</v>
      </c>
    </row>
    <row r="11" spans="1:13" ht="21" x14ac:dyDescent="0.25">
      <c r="A11" s="39"/>
      <c r="B11" s="15" t="s">
        <v>59</v>
      </c>
      <c r="C11" s="7" t="s">
        <v>42</v>
      </c>
      <c r="D11" s="17">
        <v>28285.714285714199</v>
      </c>
      <c r="E11" s="182">
        <f t="shared" ref="E11:E31" si="6">IF(C11="A", D11*30%, IF(C11="B", D11*25%, IF(C11="C", D11*20%, D11*15%)))</f>
        <v>5657.1428571428405</v>
      </c>
      <c r="F11" s="17">
        <f t="shared" si="3"/>
        <v>8485.7142857142589</v>
      </c>
      <c r="G11" s="17">
        <f t="shared" si="4"/>
        <v>8485.7142857142589</v>
      </c>
      <c r="H11" s="18">
        <f t="shared" si="0"/>
        <v>50914.285714285565</v>
      </c>
      <c r="I11" s="18">
        <f t="shared" si="5"/>
        <v>0</v>
      </c>
      <c r="J11" s="18">
        <f t="shared" si="1"/>
        <v>50914.285714285565</v>
      </c>
      <c r="K11" s="18" t="s">
        <v>308</v>
      </c>
    </row>
    <row r="12" spans="1:13" ht="21" x14ac:dyDescent="0.25">
      <c r="A12" s="39"/>
      <c r="B12" s="15" t="s">
        <v>59</v>
      </c>
      <c r="C12" s="7" t="s">
        <v>42</v>
      </c>
      <c r="D12" s="17">
        <v>39285.714285714203</v>
      </c>
      <c r="E12" s="182">
        <f t="shared" si="6"/>
        <v>7857.1428571428405</v>
      </c>
      <c r="F12" s="17">
        <f t="shared" si="3"/>
        <v>11785.714285714261</v>
      </c>
      <c r="G12" s="17">
        <f t="shared" si="4"/>
        <v>11785.714285714261</v>
      </c>
      <c r="H12" s="18">
        <f t="shared" si="0"/>
        <v>70714.285714285565</v>
      </c>
      <c r="I12" s="18">
        <f t="shared" si="5"/>
        <v>0</v>
      </c>
      <c r="J12" s="18">
        <f t="shared" si="1"/>
        <v>70714.285714285565</v>
      </c>
      <c r="K12" s="18" t="s">
        <v>311</v>
      </c>
    </row>
    <row r="13" spans="1:13" ht="21" x14ac:dyDescent="0.25">
      <c r="A13" s="39"/>
      <c r="B13" s="15" t="s">
        <v>11</v>
      </c>
      <c r="C13" s="7" t="s">
        <v>40</v>
      </c>
      <c r="D13" s="17">
        <v>31428.571428571398</v>
      </c>
      <c r="E13" s="182">
        <f t="shared" si="6"/>
        <v>9428.5714285714184</v>
      </c>
      <c r="F13" s="17">
        <f t="shared" si="3"/>
        <v>12571.42857142856</v>
      </c>
      <c r="G13" s="17">
        <f t="shared" si="4"/>
        <v>15714.285714285699</v>
      </c>
      <c r="H13" s="18">
        <f t="shared" si="0"/>
        <v>69142.857142857072</v>
      </c>
      <c r="I13" s="18">
        <f t="shared" si="5"/>
        <v>0</v>
      </c>
      <c r="J13" s="18">
        <f t="shared" si="1"/>
        <v>69142.857142857072</v>
      </c>
      <c r="K13" s="18" t="s">
        <v>300</v>
      </c>
    </row>
    <row r="14" spans="1:13" x14ac:dyDescent="0.25">
      <c r="A14" s="39"/>
      <c r="B14" s="15" t="s">
        <v>11</v>
      </c>
      <c r="C14" s="7" t="s">
        <v>40</v>
      </c>
      <c r="D14" s="17">
        <v>42428.571428571398</v>
      </c>
      <c r="E14" s="17">
        <f t="shared" si="6"/>
        <v>12728.571428571418</v>
      </c>
      <c r="F14" s="17">
        <f t="shared" si="3"/>
        <v>16971.428571428562</v>
      </c>
      <c r="G14" s="17">
        <f t="shared" si="4"/>
        <v>21214.285714285699</v>
      </c>
      <c r="H14" s="18">
        <f t="shared" si="0"/>
        <v>93342.857142857072</v>
      </c>
      <c r="I14" s="18">
        <f t="shared" si="5"/>
        <v>0</v>
      </c>
      <c r="J14" s="18">
        <f t="shared" si="1"/>
        <v>93342.857142857072</v>
      </c>
      <c r="K14" s="18" t="s">
        <v>310</v>
      </c>
    </row>
    <row r="15" spans="1:13" x14ac:dyDescent="0.25">
      <c r="B15" s="15" t="s">
        <v>503</v>
      </c>
      <c r="C15" s="7" t="s">
        <v>40</v>
      </c>
      <c r="D15" s="17">
        <v>21999.999999999902</v>
      </c>
      <c r="E15" s="17">
        <f t="shared" si="6"/>
        <v>6599.99999999997</v>
      </c>
      <c r="F15" s="17">
        <f t="shared" si="3"/>
        <v>8799.9999999999618</v>
      </c>
      <c r="G15" s="17">
        <f t="shared" si="4"/>
        <v>10999.999999999951</v>
      </c>
      <c r="H15" s="18">
        <f t="shared" si="0"/>
        <v>48399.999999999782</v>
      </c>
      <c r="I15" s="18">
        <f t="shared" si="5"/>
        <v>0</v>
      </c>
      <c r="J15" s="18">
        <f t="shared" si="1"/>
        <v>48399.999999999782</v>
      </c>
      <c r="K15" s="18" t="s">
        <v>291</v>
      </c>
    </row>
    <row r="16" spans="1:13" x14ac:dyDescent="0.25">
      <c r="A16" s="167">
        <v>107</v>
      </c>
      <c r="B16" s="15" t="s">
        <v>503</v>
      </c>
      <c r="C16" s="7" t="s">
        <v>40</v>
      </c>
      <c r="D16" s="17">
        <v>30000</v>
      </c>
      <c r="E16" s="17">
        <f t="shared" si="6"/>
        <v>9000</v>
      </c>
      <c r="F16" s="17">
        <f t="shared" si="3"/>
        <v>12000</v>
      </c>
      <c r="G16" s="17">
        <f t="shared" si="4"/>
        <v>15000</v>
      </c>
      <c r="H16" s="18">
        <f t="shared" si="0"/>
        <v>66000</v>
      </c>
      <c r="I16" s="18">
        <f t="shared" si="5"/>
        <v>0</v>
      </c>
      <c r="J16" s="18">
        <f t="shared" si="1"/>
        <v>66000</v>
      </c>
      <c r="K16" s="18" t="s">
        <v>295</v>
      </c>
    </row>
    <row r="17" spans="1:11" x14ac:dyDescent="0.25">
      <c r="A17" s="167">
        <v>108</v>
      </c>
      <c r="B17" s="15" t="s">
        <v>503</v>
      </c>
      <c r="C17" s="7" t="s">
        <v>40</v>
      </c>
      <c r="D17" s="17">
        <v>30001</v>
      </c>
      <c r="E17" s="17">
        <f t="shared" si="6"/>
        <v>9000.2999999999993</v>
      </c>
      <c r="F17" s="17">
        <f t="shared" si="3"/>
        <v>12000.400000000001</v>
      </c>
      <c r="G17" s="17">
        <f t="shared" si="4"/>
        <v>15000.5</v>
      </c>
      <c r="H17" s="18">
        <f t="shared" si="0"/>
        <v>66002.200000000012</v>
      </c>
      <c r="I17" s="18">
        <f t="shared" si="5"/>
        <v>0</v>
      </c>
      <c r="J17" s="18">
        <f t="shared" si="1"/>
        <v>66002.200000000012</v>
      </c>
      <c r="K17" s="18" t="s">
        <v>306</v>
      </c>
    </row>
    <row r="18" spans="1:11" x14ac:dyDescent="0.25">
      <c r="A18" s="167">
        <v>109</v>
      </c>
      <c r="B18" s="15" t="s">
        <v>503</v>
      </c>
      <c r="C18" s="7" t="s">
        <v>40</v>
      </c>
      <c r="D18" s="17">
        <v>30002</v>
      </c>
      <c r="E18" s="17">
        <f t="shared" si="6"/>
        <v>9000.6</v>
      </c>
      <c r="F18" s="17">
        <f t="shared" si="3"/>
        <v>12000.800000000001</v>
      </c>
      <c r="G18" s="17">
        <f t="shared" si="4"/>
        <v>15001</v>
      </c>
      <c r="H18" s="18">
        <f t="shared" si="0"/>
        <v>66004.399999999994</v>
      </c>
      <c r="I18" s="18">
        <f t="shared" si="5"/>
        <v>0</v>
      </c>
      <c r="J18" s="18">
        <f t="shared" si="1"/>
        <v>66004.399999999994</v>
      </c>
      <c r="K18" s="18" t="s">
        <v>295</v>
      </c>
    </row>
    <row r="19" spans="1:11" x14ac:dyDescent="0.25">
      <c r="A19" s="167">
        <v>110</v>
      </c>
      <c r="B19" s="15" t="s">
        <v>503</v>
      </c>
      <c r="C19" s="7" t="s">
        <v>40</v>
      </c>
      <c r="D19" s="17">
        <v>30003</v>
      </c>
      <c r="E19" s="17">
        <f t="shared" si="6"/>
        <v>9000.9</v>
      </c>
      <c r="F19" s="17">
        <f t="shared" si="3"/>
        <v>12001.2</v>
      </c>
      <c r="G19" s="17">
        <f t="shared" si="4"/>
        <v>15001.5</v>
      </c>
      <c r="H19" s="18">
        <f t="shared" si="0"/>
        <v>66006.600000000006</v>
      </c>
      <c r="I19" s="18">
        <f t="shared" si="5"/>
        <v>0</v>
      </c>
      <c r="J19" s="18">
        <f t="shared" si="1"/>
        <v>66006.600000000006</v>
      </c>
      <c r="K19" s="18" t="s">
        <v>307</v>
      </c>
    </row>
    <row r="20" spans="1:11" x14ac:dyDescent="0.25">
      <c r="A20" s="167">
        <v>111</v>
      </c>
      <c r="B20" s="15" t="s">
        <v>503</v>
      </c>
      <c r="C20" s="7" t="s">
        <v>40</v>
      </c>
      <c r="D20" s="17">
        <v>30004</v>
      </c>
      <c r="E20" s="17">
        <f t="shared" si="6"/>
        <v>9001.1999999999989</v>
      </c>
      <c r="F20" s="17">
        <f t="shared" si="3"/>
        <v>12001.6</v>
      </c>
      <c r="G20" s="17">
        <f t="shared" si="4"/>
        <v>15002</v>
      </c>
      <c r="H20" s="18">
        <f t="shared" si="0"/>
        <v>66008.799999999988</v>
      </c>
      <c r="I20" s="18">
        <f t="shared" si="5"/>
        <v>0</v>
      </c>
      <c r="J20" s="18">
        <f t="shared" si="1"/>
        <v>66008.799999999988</v>
      </c>
      <c r="K20" s="18" t="s">
        <v>308</v>
      </c>
    </row>
    <row r="21" spans="1:11" x14ac:dyDescent="0.25">
      <c r="A21" s="167">
        <v>112</v>
      </c>
      <c r="B21" s="15" t="s">
        <v>503</v>
      </c>
      <c r="C21" s="7" t="s">
        <v>40</v>
      </c>
      <c r="D21" s="17">
        <v>30005</v>
      </c>
      <c r="E21" s="17">
        <f t="shared" si="6"/>
        <v>9001.5</v>
      </c>
      <c r="F21" s="17">
        <f t="shared" si="3"/>
        <v>12002</v>
      </c>
      <c r="G21" s="17">
        <f t="shared" si="4"/>
        <v>15002.5</v>
      </c>
      <c r="H21" s="18">
        <f t="shared" si="0"/>
        <v>66011</v>
      </c>
      <c r="I21" s="18">
        <f t="shared" si="5"/>
        <v>0</v>
      </c>
      <c r="J21" s="18">
        <f t="shared" si="1"/>
        <v>66011</v>
      </c>
      <c r="K21" s="18" t="s">
        <v>296</v>
      </c>
    </row>
    <row r="22" spans="1:11" x14ac:dyDescent="0.25">
      <c r="A22" s="167">
        <v>113</v>
      </c>
      <c r="B22" s="15" t="s">
        <v>503</v>
      </c>
      <c r="C22" s="7" t="s">
        <v>40</v>
      </c>
      <c r="D22" s="17">
        <v>30006</v>
      </c>
      <c r="E22" s="17">
        <f t="shared" si="6"/>
        <v>9001.7999999999993</v>
      </c>
      <c r="F22" s="17">
        <f t="shared" si="3"/>
        <v>12002.400000000001</v>
      </c>
      <c r="G22" s="17">
        <f t="shared" si="4"/>
        <v>15003</v>
      </c>
      <c r="H22" s="18">
        <f t="shared" si="0"/>
        <v>66013.200000000012</v>
      </c>
      <c r="I22" s="18">
        <f t="shared" si="5"/>
        <v>0</v>
      </c>
      <c r="J22" s="18">
        <f t="shared" si="1"/>
        <v>66013.200000000012</v>
      </c>
      <c r="K22" s="18" t="s">
        <v>309</v>
      </c>
    </row>
    <row r="23" spans="1:11" x14ac:dyDescent="0.25">
      <c r="B23" s="15" t="s">
        <v>503</v>
      </c>
      <c r="C23" s="7" t="s">
        <v>40</v>
      </c>
      <c r="D23" s="17">
        <v>33000</v>
      </c>
      <c r="E23" s="17">
        <f t="shared" si="6"/>
        <v>9900</v>
      </c>
      <c r="F23" s="17">
        <f t="shared" si="3"/>
        <v>13200</v>
      </c>
      <c r="G23" s="17">
        <f t="shared" si="4"/>
        <v>16500</v>
      </c>
      <c r="H23" s="18">
        <f t="shared" si="0"/>
        <v>72600</v>
      </c>
      <c r="I23" s="18">
        <f t="shared" si="5"/>
        <v>0</v>
      </c>
      <c r="J23" s="18">
        <f t="shared" si="1"/>
        <v>72600</v>
      </c>
      <c r="K23" s="18" t="s">
        <v>303</v>
      </c>
    </row>
    <row r="24" spans="1:11" x14ac:dyDescent="0.25">
      <c r="B24" s="15" t="s">
        <v>503</v>
      </c>
      <c r="C24" s="7" t="s">
        <v>40</v>
      </c>
      <c r="D24" s="17">
        <v>33001</v>
      </c>
      <c r="E24" s="17">
        <f t="shared" si="6"/>
        <v>9900.2999999999993</v>
      </c>
      <c r="F24" s="17">
        <f t="shared" si="3"/>
        <v>13200.400000000001</v>
      </c>
      <c r="G24" s="17">
        <f t="shared" si="4"/>
        <v>16500.5</v>
      </c>
      <c r="H24" s="18">
        <f t="shared" si="0"/>
        <v>72602.200000000012</v>
      </c>
      <c r="I24" s="18">
        <f t="shared" si="5"/>
        <v>0</v>
      </c>
      <c r="J24" s="18">
        <f t="shared" si="1"/>
        <v>72602.200000000012</v>
      </c>
      <c r="K24" s="18" t="s">
        <v>298</v>
      </c>
    </row>
    <row r="25" spans="1:11" x14ac:dyDescent="0.25">
      <c r="B25" s="15" t="s">
        <v>503</v>
      </c>
      <c r="C25" s="7" t="s">
        <v>40</v>
      </c>
      <c r="D25" s="17">
        <v>33002</v>
      </c>
      <c r="E25" s="17">
        <f t="shared" si="6"/>
        <v>9900.6</v>
      </c>
      <c r="F25" s="17">
        <f t="shared" si="3"/>
        <v>13200.800000000001</v>
      </c>
      <c r="G25" s="17">
        <f t="shared" si="4"/>
        <v>16501</v>
      </c>
      <c r="H25" s="18">
        <f t="shared" si="0"/>
        <v>72604.399999999994</v>
      </c>
      <c r="I25" s="18">
        <f t="shared" si="5"/>
        <v>0</v>
      </c>
      <c r="J25" s="18">
        <f t="shared" si="1"/>
        <v>72604.399999999994</v>
      </c>
      <c r="K25" s="18" t="s">
        <v>304</v>
      </c>
    </row>
    <row r="26" spans="1:11" x14ac:dyDescent="0.25">
      <c r="B26" s="15" t="s">
        <v>503</v>
      </c>
      <c r="C26" s="7" t="s">
        <v>40</v>
      </c>
      <c r="D26" s="17">
        <v>33003</v>
      </c>
      <c r="E26" s="17">
        <f t="shared" si="6"/>
        <v>9900.9</v>
      </c>
      <c r="F26" s="17">
        <f t="shared" si="3"/>
        <v>13201.2</v>
      </c>
      <c r="G26" s="17">
        <f t="shared" si="4"/>
        <v>16501.5</v>
      </c>
      <c r="H26" s="18">
        <f t="shared" si="0"/>
        <v>72606.600000000006</v>
      </c>
      <c r="I26" s="18">
        <f t="shared" si="5"/>
        <v>0</v>
      </c>
      <c r="J26" s="18">
        <f t="shared" si="1"/>
        <v>72606.600000000006</v>
      </c>
      <c r="K26" s="18" t="s">
        <v>305</v>
      </c>
    </row>
    <row r="27" spans="1:11" x14ac:dyDescent="0.25">
      <c r="B27" s="15" t="s">
        <v>503</v>
      </c>
      <c r="C27" s="7" t="s">
        <v>40</v>
      </c>
      <c r="D27" s="17">
        <v>33004</v>
      </c>
      <c r="E27" s="17">
        <f t="shared" si="6"/>
        <v>9901.1999999999989</v>
      </c>
      <c r="F27" s="17">
        <f t="shared" si="3"/>
        <v>13201.6</v>
      </c>
      <c r="G27" s="17">
        <f t="shared" si="4"/>
        <v>16502</v>
      </c>
      <c r="H27" s="18">
        <f t="shared" si="0"/>
        <v>72608.799999999988</v>
      </c>
      <c r="I27" s="18">
        <f t="shared" si="5"/>
        <v>0</v>
      </c>
      <c r="J27" s="18">
        <f t="shared" si="1"/>
        <v>72608.799999999988</v>
      </c>
      <c r="K27" s="18" t="s">
        <v>299</v>
      </c>
    </row>
    <row r="28" spans="1:11" x14ac:dyDescent="0.25">
      <c r="B28" s="15" t="s">
        <v>503</v>
      </c>
      <c r="C28" s="7" t="s">
        <v>40</v>
      </c>
      <c r="D28" s="17">
        <v>33005</v>
      </c>
      <c r="E28" s="17">
        <f t="shared" si="6"/>
        <v>9901.5</v>
      </c>
      <c r="F28" s="17">
        <f t="shared" si="3"/>
        <v>13202</v>
      </c>
      <c r="G28" s="17">
        <f t="shared" si="4"/>
        <v>16502.5</v>
      </c>
      <c r="H28" s="18">
        <f t="shared" si="0"/>
        <v>72611</v>
      </c>
      <c r="I28" s="18">
        <f t="shared" si="5"/>
        <v>0</v>
      </c>
      <c r="J28" s="18">
        <f t="shared" si="1"/>
        <v>72611</v>
      </c>
      <c r="K28" s="18" t="s">
        <v>295</v>
      </c>
    </row>
    <row r="29" spans="1:11" x14ac:dyDescent="0.25">
      <c r="B29" s="15" t="s">
        <v>503</v>
      </c>
      <c r="C29" s="7" t="s">
        <v>40</v>
      </c>
      <c r="D29" s="17">
        <v>33006</v>
      </c>
      <c r="E29" s="17">
        <f t="shared" si="6"/>
        <v>9901.7999999999993</v>
      </c>
      <c r="F29" s="17">
        <f t="shared" si="3"/>
        <v>13202.400000000001</v>
      </c>
      <c r="G29" s="17">
        <f t="shared" si="4"/>
        <v>16503</v>
      </c>
      <c r="H29" s="18">
        <f t="shared" si="0"/>
        <v>72613.200000000012</v>
      </c>
      <c r="I29" s="18">
        <f t="shared" si="5"/>
        <v>0</v>
      </c>
      <c r="J29" s="18">
        <f t="shared" si="1"/>
        <v>72613.200000000012</v>
      </c>
      <c r="K29" s="18" t="s">
        <v>306</v>
      </c>
    </row>
    <row r="30" spans="1:11" x14ac:dyDescent="0.25">
      <c r="B30" s="15" t="s">
        <v>62</v>
      </c>
      <c r="C30" s="7" t="s">
        <v>41</v>
      </c>
      <c r="D30" s="17">
        <v>23571.4285714285</v>
      </c>
      <c r="E30" s="17">
        <f t="shared" si="6"/>
        <v>5892.8571428571249</v>
      </c>
      <c r="F30" s="17">
        <f t="shared" si="3"/>
        <v>8249.9999999999745</v>
      </c>
      <c r="G30" s="17">
        <f t="shared" si="4"/>
        <v>9428.5714285714002</v>
      </c>
      <c r="H30" s="18">
        <f t="shared" si="0"/>
        <v>47142.857142856992</v>
      </c>
      <c r="I30" s="18">
        <f t="shared" si="5"/>
        <v>0</v>
      </c>
      <c r="J30" s="18">
        <f t="shared" si="1"/>
        <v>47142.857142856992</v>
      </c>
      <c r="K30" s="18" t="s">
        <v>310</v>
      </c>
    </row>
    <row r="31" spans="1:11" x14ac:dyDescent="0.25">
      <c r="A31" s="167">
        <v>106</v>
      </c>
      <c r="B31" s="15" t="s">
        <v>62</v>
      </c>
      <c r="C31" s="7" t="s">
        <v>41</v>
      </c>
      <c r="D31" s="17">
        <v>120000</v>
      </c>
      <c r="E31" s="17">
        <f t="shared" si="6"/>
        <v>30000</v>
      </c>
      <c r="F31" s="17">
        <f t="shared" si="3"/>
        <v>42000</v>
      </c>
      <c r="G31" s="17">
        <f t="shared" si="4"/>
        <v>48000</v>
      </c>
      <c r="H31" s="18">
        <f t="shared" si="0"/>
        <v>240000</v>
      </c>
      <c r="I31" s="18">
        <f t="shared" si="5"/>
        <v>24000</v>
      </c>
      <c r="J31" s="18">
        <f t="shared" si="1"/>
        <v>216000</v>
      </c>
      <c r="K31" s="18" t="s">
        <v>294</v>
      </c>
    </row>
    <row r="32" spans="1:11" x14ac:dyDescent="0.25">
      <c r="B32" s="15" t="s">
        <v>64</v>
      </c>
      <c r="C32" s="7"/>
      <c r="D32" s="17"/>
      <c r="E32" s="17"/>
      <c r="F32" s="17"/>
      <c r="G32" s="17"/>
      <c r="H32" s="18">
        <f t="shared" si="0"/>
        <v>0</v>
      </c>
      <c r="I32" s="18">
        <f t="shared" si="5"/>
        <v>0</v>
      </c>
      <c r="J32" s="18">
        <f t="shared" si="1"/>
        <v>0</v>
      </c>
      <c r="K32" s="18" t="s">
        <v>311</v>
      </c>
    </row>
    <row r="33" spans="1:11" x14ac:dyDescent="0.25">
      <c r="A33" s="167">
        <v>105</v>
      </c>
      <c r="B33" s="15" t="s">
        <v>61</v>
      </c>
      <c r="C33" s="7" t="s">
        <v>40</v>
      </c>
      <c r="D33" s="17">
        <v>12000</v>
      </c>
      <c r="E33" s="17">
        <f t="shared" ref="E33:E64" si="7">IF(C33="A", D33*30%, IF(C33="B", D33*25%, IF(C33="C", D33*20%, D33*15%)))</f>
        <v>3600</v>
      </c>
      <c r="F33" s="17">
        <f t="shared" ref="F33:F64" si="8">IF(C33="A", D33*40%, IF(C33="B", D33*35%, IF(C33="C", D33*30%, D33*20%)))</f>
        <v>4800</v>
      </c>
      <c r="G33" s="17">
        <f t="shared" ref="G33:G64" si="9">IF(C33="A",D33*50%,IF(C33="B",D33*40%,IF(C33="C",D33*30%,D33*20%)))</f>
        <v>6000</v>
      </c>
      <c r="H33" s="18">
        <f t="shared" si="0"/>
        <v>26400</v>
      </c>
      <c r="I33" s="18">
        <f t="shared" si="5"/>
        <v>0</v>
      </c>
      <c r="J33" s="18">
        <f t="shared" si="1"/>
        <v>26400</v>
      </c>
      <c r="K33" s="18" t="s">
        <v>305</v>
      </c>
    </row>
    <row r="34" spans="1:11" x14ac:dyDescent="0.25">
      <c r="B34" s="15" t="s">
        <v>61</v>
      </c>
      <c r="C34" s="7" t="s">
        <v>40</v>
      </c>
      <c r="D34" s="17">
        <v>25142.857142857101</v>
      </c>
      <c r="E34" s="17">
        <f t="shared" si="7"/>
        <v>7542.8571428571304</v>
      </c>
      <c r="F34" s="17">
        <f t="shared" si="8"/>
        <v>10057.142857142841</v>
      </c>
      <c r="G34" s="17">
        <f t="shared" si="9"/>
        <v>12571.428571428551</v>
      </c>
      <c r="H34" s="18">
        <f t="shared" ref="H34:H65" si="10">SUM(D34:G34)</f>
        <v>55314.285714285623</v>
      </c>
      <c r="I34" s="18">
        <f t="shared" si="5"/>
        <v>0</v>
      </c>
      <c r="J34" s="18">
        <f t="shared" ref="J34:J65" si="11">H34-I34</f>
        <v>55314.285714285623</v>
      </c>
      <c r="K34" s="18" t="s">
        <v>309</v>
      </c>
    </row>
    <row r="35" spans="1:11" x14ac:dyDescent="0.25">
      <c r="B35" s="15" t="s">
        <v>61</v>
      </c>
      <c r="C35" s="7" t="s">
        <v>40</v>
      </c>
      <c r="D35" s="17">
        <v>36142.857142857101</v>
      </c>
      <c r="E35" s="17">
        <f t="shared" si="7"/>
        <v>10842.85714285713</v>
      </c>
      <c r="F35" s="17">
        <f t="shared" si="8"/>
        <v>14457.142857142841</v>
      </c>
      <c r="G35" s="17">
        <f t="shared" si="9"/>
        <v>18071.428571428551</v>
      </c>
      <c r="H35" s="18">
        <f t="shared" si="10"/>
        <v>79514.285714285623</v>
      </c>
      <c r="I35" s="18">
        <f t="shared" si="5"/>
        <v>0</v>
      </c>
      <c r="J35" s="18">
        <f t="shared" si="11"/>
        <v>79514.285714285623</v>
      </c>
      <c r="K35" s="18" t="s">
        <v>231</v>
      </c>
    </row>
    <row r="36" spans="1:11" x14ac:dyDescent="0.25">
      <c r="B36" s="15" t="s">
        <v>61</v>
      </c>
      <c r="C36" s="7" t="s">
        <v>40</v>
      </c>
      <c r="D36" s="17">
        <v>36143.857142857101</v>
      </c>
      <c r="E36" s="17">
        <f t="shared" si="7"/>
        <v>10843.15714285713</v>
      </c>
      <c r="F36" s="17">
        <f t="shared" si="8"/>
        <v>14457.542857142842</v>
      </c>
      <c r="G36" s="17">
        <f t="shared" si="9"/>
        <v>18071.928571428551</v>
      </c>
      <c r="H36" s="18">
        <f t="shared" si="10"/>
        <v>79516.485714285634</v>
      </c>
      <c r="I36" s="18">
        <f t="shared" si="5"/>
        <v>0</v>
      </c>
      <c r="J36" s="18">
        <f t="shared" si="11"/>
        <v>79516.485714285634</v>
      </c>
      <c r="K36" s="18" t="s">
        <v>298</v>
      </c>
    </row>
    <row r="37" spans="1:11" x14ac:dyDescent="0.25">
      <c r="B37" s="15" t="s">
        <v>61</v>
      </c>
      <c r="C37" s="7" t="s">
        <v>40</v>
      </c>
      <c r="D37" s="17">
        <v>36144.857142857101</v>
      </c>
      <c r="E37" s="17">
        <f t="shared" si="7"/>
        <v>10843.457142857131</v>
      </c>
      <c r="F37" s="17">
        <f t="shared" si="8"/>
        <v>14457.942857142842</v>
      </c>
      <c r="G37" s="17">
        <f t="shared" si="9"/>
        <v>18072.428571428551</v>
      </c>
      <c r="H37" s="18">
        <f t="shared" si="10"/>
        <v>79518.685714285617</v>
      </c>
      <c r="I37" s="18">
        <f t="shared" ref="I37:I68" si="12">IF(H37&gt;=100000, H37*10%, 0)</f>
        <v>0</v>
      </c>
      <c r="J37" s="18">
        <f t="shared" si="11"/>
        <v>79518.685714285617</v>
      </c>
      <c r="K37" s="18" t="s">
        <v>299</v>
      </c>
    </row>
    <row r="38" spans="1:11" x14ac:dyDescent="0.25">
      <c r="B38" s="15" t="s">
        <v>61</v>
      </c>
      <c r="C38" s="7" t="s">
        <v>40</v>
      </c>
      <c r="D38" s="17">
        <v>36145.857142857101</v>
      </c>
      <c r="E38" s="17">
        <f t="shared" si="7"/>
        <v>10843.75714285713</v>
      </c>
      <c r="F38" s="17">
        <f t="shared" si="8"/>
        <v>14458.342857142841</v>
      </c>
      <c r="G38" s="17">
        <f t="shared" si="9"/>
        <v>18072.928571428551</v>
      </c>
      <c r="H38" s="18">
        <f t="shared" si="10"/>
        <v>79520.885714285629</v>
      </c>
      <c r="I38" s="18">
        <f t="shared" si="12"/>
        <v>0</v>
      </c>
      <c r="J38" s="18">
        <f t="shared" si="11"/>
        <v>79520.885714285629</v>
      </c>
      <c r="K38" s="18" t="s">
        <v>300</v>
      </c>
    </row>
    <row r="39" spans="1:11" x14ac:dyDescent="0.25">
      <c r="B39" s="15" t="s">
        <v>61</v>
      </c>
      <c r="C39" s="7" t="s">
        <v>40</v>
      </c>
      <c r="D39" s="17">
        <v>36146.857142857101</v>
      </c>
      <c r="E39" s="17">
        <f t="shared" si="7"/>
        <v>10844.057142857129</v>
      </c>
      <c r="F39" s="17">
        <f t="shared" si="8"/>
        <v>14458.742857142841</v>
      </c>
      <c r="G39" s="17">
        <f t="shared" si="9"/>
        <v>18073.428571428551</v>
      </c>
      <c r="H39" s="18">
        <f t="shared" si="10"/>
        <v>79523.085714285611</v>
      </c>
      <c r="I39" s="18">
        <f t="shared" si="12"/>
        <v>0</v>
      </c>
      <c r="J39" s="18">
        <f t="shared" si="11"/>
        <v>79523.085714285611</v>
      </c>
      <c r="K39" s="18" t="s">
        <v>301</v>
      </c>
    </row>
    <row r="40" spans="1:11" x14ac:dyDescent="0.25">
      <c r="B40" s="15" t="s">
        <v>61</v>
      </c>
      <c r="C40" s="7" t="s">
        <v>40</v>
      </c>
      <c r="D40" s="17">
        <v>36147.857142857101</v>
      </c>
      <c r="E40" s="17">
        <f t="shared" si="7"/>
        <v>10844.35714285713</v>
      </c>
      <c r="F40" s="17">
        <f t="shared" si="8"/>
        <v>14459.142857142841</v>
      </c>
      <c r="G40" s="17">
        <f t="shared" si="9"/>
        <v>18073.928571428551</v>
      </c>
      <c r="H40" s="18">
        <f t="shared" si="10"/>
        <v>79525.285714285623</v>
      </c>
      <c r="I40" s="18">
        <f t="shared" si="12"/>
        <v>0</v>
      </c>
      <c r="J40" s="18">
        <f t="shared" si="11"/>
        <v>79525.285714285623</v>
      </c>
      <c r="K40" s="18" t="s">
        <v>291</v>
      </c>
    </row>
    <row r="41" spans="1:11" x14ac:dyDescent="0.25">
      <c r="B41" s="15" t="s">
        <v>61</v>
      </c>
      <c r="C41" s="7" t="s">
        <v>40</v>
      </c>
      <c r="D41" s="17">
        <v>36148.857142857101</v>
      </c>
      <c r="E41" s="17">
        <f t="shared" si="7"/>
        <v>10844.65714285713</v>
      </c>
      <c r="F41" s="17">
        <f t="shared" si="8"/>
        <v>14459.542857142842</v>
      </c>
      <c r="G41" s="17">
        <f t="shared" si="9"/>
        <v>18074.428571428551</v>
      </c>
      <c r="H41" s="18">
        <f t="shared" si="10"/>
        <v>79527.485714285634</v>
      </c>
      <c r="I41" s="18">
        <f t="shared" si="12"/>
        <v>0</v>
      </c>
      <c r="J41" s="18">
        <f t="shared" si="11"/>
        <v>79527.485714285634</v>
      </c>
      <c r="K41" s="18" t="s">
        <v>292</v>
      </c>
    </row>
    <row r="42" spans="1:11" x14ac:dyDescent="0.25">
      <c r="B42" s="15" t="s">
        <v>61</v>
      </c>
      <c r="C42" s="7" t="s">
        <v>40</v>
      </c>
      <c r="D42" s="17">
        <v>36149.857142857101</v>
      </c>
      <c r="E42" s="17">
        <f t="shared" si="7"/>
        <v>10844.957142857131</v>
      </c>
      <c r="F42" s="17">
        <f t="shared" si="8"/>
        <v>14459.942857142842</v>
      </c>
      <c r="G42" s="17">
        <f t="shared" si="9"/>
        <v>18074.928571428551</v>
      </c>
      <c r="H42" s="18">
        <f t="shared" si="10"/>
        <v>79529.685714285617</v>
      </c>
      <c r="I42" s="18">
        <f t="shared" si="12"/>
        <v>0</v>
      </c>
      <c r="J42" s="18">
        <f t="shared" si="11"/>
        <v>79529.685714285617</v>
      </c>
      <c r="K42" s="18" t="s">
        <v>293</v>
      </c>
    </row>
    <row r="43" spans="1:11" x14ac:dyDescent="0.25">
      <c r="B43" s="15" t="s">
        <v>61</v>
      </c>
      <c r="C43" s="7" t="s">
        <v>40</v>
      </c>
      <c r="D43" s="17">
        <v>36150.857142857101</v>
      </c>
      <c r="E43" s="17">
        <f t="shared" si="7"/>
        <v>10845.25714285713</v>
      </c>
      <c r="F43" s="17">
        <f t="shared" si="8"/>
        <v>14460.342857142841</v>
      </c>
      <c r="G43" s="17">
        <f t="shared" si="9"/>
        <v>18075.428571428551</v>
      </c>
      <c r="H43" s="18">
        <f t="shared" si="10"/>
        <v>79531.885714285629</v>
      </c>
      <c r="I43" s="18">
        <f t="shared" si="12"/>
        <v>0</v>
      </c>
      <c r="J43" s="18">
        <f t="shared" si="11"/>
        <v>79531.885714285629</v>
      </c>
      <c r="K43" s="18" t="s">
        <v>294</v>
      </c>
    </row>
    <row r="44" spans="1:11" x14ac:dyDescent="0.25">
      <c r="B44" s="15" t="s">
        <v>61</v>
      </c>
      <c r="C44" s="7" t="s">
        <v>40</v>
      </c>
      <c r="D44" s="17">
        <v>36151.857142857101</v>
      </c>
      <c r="E44" s="17">
        <f t="shared" si="7"/>
        <v>10845.557142857129</v>
      </c>
      <c r="F44" s="17">
        <f t="shared" si="8"/>
        <v>14460.742857142841</v>
      </c>
      <c r="G44" s="17">
        <f t="shared" si="9"/>
        <v>18075.928571428551</v>
      </c>
      <c r="H44" s="18">
        <f t="shared" si="10"/>
        <v>79534.085714285611</v>
      </c>
      <c r="I44" s="18">
        <f t="shared" si="12"/>
        <v>0</v>
      </c>
      <c r="J44" s="18">
        <f t="shared" si="11"/>
        <v>79534.085714285611</v>
      </c>
      <c r="K44" s="18" t="s">
        <v>295</v>
      </c>
    </row>
    <row r="45" spans="1:11" x14ac:dyDescent="0.25">
      <c r="B45" s="15" t="s">
        <v>61</v>
      </c>
      <c r="C45" s="7" t="s">
        <v>40</v>
      </c>
      <c r="D45" s="17">
        <v>36152.857142857101</v>
      </c>
      <c r="E45" s="17">
        <f t="shared" si="7"/>
        <v>10845.85714285713</v>
      </c>
      <c r="F45" s="17">
        <f t="shared" si="8"/>
        <v>14461.142857142841</v>
      </c>
      <c r="G45" s="17">
        <f t="shared" si="9"/>
        <v>18076.428571428551</v>
      </c>
      <c r="H45" s="18">
        <f t="shared" si="10"/>
        <v>79536.285714285623</v>
      </c>
      <c r="I45" s="18">
        <f t="shared" si="12"/>
        <v>0</v>
      </c>
      <c r="J45" s="18">
        <f t="shared" si="11"/>
        <v>79536.285714285623</v>
      </c>
      <c r="K45" s="18" t="s">
        <v>296</v>
      </c>
    </row>
    <row r="46" spans="1:11" x14ac:dyDescent="0.25">
      <c r="B46" s="15" t="s">
        <v>61</v>
      </c>
      <c r="C46" s="7" t="s">
        <v>40</v>
      </c>
      <c r="D46" s="17">
        <v>36153.857142857101</v>
      </c>
      <c r="E46" s="17">
        <f t="shared" si="7"/>
        <v>10846.15714285713</v>
      </c>
      <c r="F46" s="17">
        <f t="shared" si="8"/>
        <v>14461.542857142842</v>
      </c>
      <c r="G46" s="17">
        <f t="shared" si="9"/>
        <v>18076.928571428551</v>
      </c>
      <c r="H46" s="18">
        <f t="shared" si="10"/>
        <v>79538.485714285634</v>
      </c>
      <c r="I46" s="18">
        <f t="shared" si="12"/>
        <v>0</v>
      </c>
      <c r="J46" s="18">
        <f t="shared" si="11"/>
        <v>79538.485714285634</v>
      </c>
      <c r="K46" s="18" t="s">
        <v>297</v>
      </c>
    </row>
    <row r="47" spans="1:11" x14ac:dyDescent="0.25">
      <c r="B47" s="15" t="s">
        <v>61</v>
      </c>
      <c r="C47" s="7" t="s">
        <v>40</v>
      </c>
      <c r="D47" s="17">
        <v>36154.857142857101</v>
      </c>
      <c r="E47" s="17">
        <f t="shared" si="7"/>
        <v>10846.457142857131</v>
      </c>
      <c r="F47" s="17">
        <f t="shared" si="8"/>
        <v>14461.942857142842</v>
      </c>
      <c r="G47" s="17">
        <f t="shared" si="9"/>
        <v>18077.428571428551</v>
      </c>
      <c r="H47" s="18">
        <f t="shared" si="10"/>
        <v>79540.685714285617</v>
      </c>
      <c r="I47" s="18">
        <f t="shared" si="12"/>
        <v>0</v>
      </c>
      <c r="J47" s="18">
        <f t="shared" si="11"/>
        <v>79540.685714285617</v>
      </c>
      <c r="K47" s="18" t="s">
        <v>231</v>
      </c>
    </row>
    <row r="48" spans="1:11" x14ac:dyDescent="0.25">
      <c r="B48" s="15" t="s">
        <v>61</v>
      </c>
      <c r="C48" s="7" t="s">
        <v>40</v>
      </c>
      <c r="D48" s="17">
        <v>36155.857142857101</v>
      </c>
      <c r="E48" s="17">
        <f t="shared" si="7"/>
        <v>10846.75714285713</v>
      </c>
      <c r="F48" s="17">
        <f t="shared" si="8"/>
        <v>14462.342857142841</v>
      </c>
      <c r="G48" s="17">
        <f t="shared" si="9"/>
        <v>18077.928571428551</v>
      </c>
      <c r="H48" s="18">
        <f t="shared" si="10"/>
        <v>79542.885714285629</v>
      </c>
      <c r="I48" s="18">
        <f t="shared" si="12"/>
        <v>0</v>
      </c>
      <c r="J48" s="18">
        <f t="shared" si="11"/>
        <v>79542.885714285629</v>
      </c>
      <c r="K48" s="18" t="s">
        <v>298</v>
      </c>
    </row>
    <row r="49" spans="2:11" x14ac:dyDescent="0.25">
      <c r="B49" s="15" t="s">
        <v>61</v>
      </c>
      <c r="C49" s="7" t="s">
        <v>40</v>
      </c>
      <c r="D49" s="17">
        <v>36156.857142857101</v>
      </c>
      <c r="E49" s="17">
        <f t="shared" si="7"/>
        <v>10847.057142857129</v>
      </c>
      <c r="F49" s="17">
        <f t="shared" si="8"/>
        <v>14462.742857142841</v>
      </c>
      <c r="G49" s="17">
        <f t="shared" si="9"/>
        <v>18078.428571428551</v>
      </c>
      <c r="H49" s="18">
        <f t="shared" si="10"/>
        <v>79545.085714285611</v>
      </c>
      <c r="I49" s="18">
        <f t="shared" si="12"/>
        <v>0</v>
      </c>
      <c r="J49" s="18">
        <f t="shared" si="11"/>
        <v>79545.085714285611</v>
      </c>
      <c r="K49" s="18" t="s">
        <v>299</v>
      </c>
    </row>
    <row r="50" spans="2:11" x14ac:dyDescent="0.25">
      <c r="B50" s="15" t="s">
        <v>61</v>
      </c>
      <c r="C50" s="7" t="s">
        <v>40</v>
      </c>
      <c r="D50" s="17">
        <v>36157.857142857101</v>
      </c>
      <c r="E50" s="17">
        <f t="shared" si="7"/>
        <v>10847.35714285713</v>
      </c>
      <c r="F50" s="17">
        <f t="shared" si="8"/>
        <v>14463.142857142841</v>
      </c>
      <c r="G50" s="17">
        <f t="shared" si="9"/>
        <v>18078.928571428551</v>
      </c>
      <c r="H50" s="18">
        <f t="shared" si="10"/>
        <v>79547.285714285623</v>
      </c>
      <c r="I50" s="18">
        <f t="shared" si="12"/>
        <v>0</v>
      </c>
      <c r="J50" s="18">
        <f t="shared" si="11"/>
        <v>79547.285714285623</v>
      </c>
      <c r="K50" s="18" t="s">
        <v>300</v>
      </c>
    </row>
    <row r="51" spans="2:11" x14ac:dyDescent="0.25">
      <c r="B51" s="15" t="s">
        <v>61</v>
      </c>
      <c r="C51" s="7" t="s">
        <v>40</v>
      </c>
      <c r="D51" s="17">
        <v>36158.857142857101</v>
      </c>
      <c r="E51" s="17">
        <f t="shared" si="7"/>
        <v>10847.65714285713</v>
      </c>
      <c r="F51" s="17">
        <f t="shared" si="8"/>
        <v>14463.542857142842</v>
      </c>
      <c r="G51" s="17">
        <f t="shared" si="9"/>
        <v>18079.428571428551</v>
      </c>
      <c r="H51" s="18">
        <f t="shared" si="10"/>
        <v>79549.485714285634</v>
      </c>
      <c r="I51" s="18">
        <f t="shared" si="12"/>
        <v>0</v>
      </c>
      <c r="J51" s="18">
        <f t="shared" si="11"/>
        <v>79549.485714285634</v>
      </c>
      <c r="K51" s="18" t="s">
        <v>301</v>
      </c>
    </row>
    <row r="52" spans="2:11" x14ac:dyDescent="0.25">
      <c r="B52" s="15" t="s">
        <v>61</v>
      </c>
      <c r="C52" s="7" t="s">
        <v>40</v>
      </c>
      <c r="D52" s="17">
        <v>36159.857142857101</v>
      </c>
      <c r="E52" s="17">
        <f t="shared" si="7"/>
        <v>10847.957142857131</v>
      </c>
      <c r="F52" s="17">
        <f t="shared" si="8"/>
        <v>14463.942857142842</v>
      </c>
      <c r="G52" s="17">
        <f t="shared" si="9"/>
        <v>18079.928571428551</v>
      </c>
      <c r="H52" s="18">
        <f t="shared" si="10"/>
        <v>79551.685714285617</v>
      </c>
      <c r="I52" s="18">
        <f t="shared" si="12"/>
        <v>0</v>
      </c>
      <c r="J52" s="18">
        <f t="shared" si="11"/>
        <v>79551.685714285617</v>
      </c>
      <c r="K52" s="18" t="s">
        <v>291</v>
      </c>
    </row>
    <row r="53" spans="2:11" x14ac:dyDescent="0.25">
      <c r="B53" s="15" t="s">
        <v>61</v>
      </c>
      <c r="C53" s="7" t="s">
        <v>40</v>
      </c>
      <c r="D53" s="17">
        <v>36160.857142857101</v>
      </c>
      <c r="E53" s="17">
        <f t="shared" si="7"/>
        <v>10848.25714285713</v>
      </c>
      <c r="F53" s="17">
        <f t="shared" si="8"/>
        <v>14464.342857142841</v>
      </c>
      <c r="G53" s="17">
        <f t="shared" si="9"/>
        <v>18080.428571428551</v>
      </c>
      <c r="H53" s="18">
        <f t="shared" si="10"/>
        <v>79553.885714285629</v>
      </c>
      <c r="I53" s="18">
        <f t="shared" si="12"/>
        <v>0</v>
      </c>
      <c r="J53" s="18">
        <f t="shared" si="11"/>
        <v>79553.885714285629</v>
      </c>
      <c r="K53" s="18" t="s">
        <v>292</v>
      </c>
    </row>
    <row r="54" spans="2:11" x14ac:dyDescent="0.25">
      <c r="B54" s="15" t="s">
        <v>61</v>
      </c>
      <c r="C54" s="7" t="s">
        <v>40</v>
      </c>
      <c r="D54" s="17">
        <v>36161.857142857101</v>
      </c>
      <c r="E54" s="17">
        <f t="shared" si="7"/>
        <v>10848.557142857129</v>
      </c>
      <c r="F54" s="17">
        <f t="shared" si="8"/>
        <v>14464.742857142841</v>
      </c>
      <c r="G54" s="17">
        <f t="shared" si="9"/>
        <v>18080.928571428551</v>
      </c>
      <c r="H54" s="18">
        <f t="shared" si="10"/>
        <v>79556.085714285611</v>
      </c>
      <c r="I54" s="18">
        <f t="shared" si="12"/>
        <v>0</v>
      </c>
      <c r="J54" s="18">
        <f t="shared" si="11"/>
        <v>79556.085714285611</v>
      </c>
      <c r="K54" s="18" t="s">
        <v>293</v>
      </c>
    </row>
    <row r="55" spans="2:11" x14ac:dyDescent="0.25">
      <c r="B55" s="15" t="s">
        <v>61</v>
      </c>
      <c r="C55" s="7" t="s">
        <v>40</v>
      </c>
      <c r="D55" s="17">
        <v>36162.857142857101</v>
      </c>
      <c r="E55" s="17">
        <f t="shared" si="7"/>
        <v>10848.85714285713</v>
      </c>
      <c r="F55" s="17">
        <f t="shared" si="8"/>
        <v>14465.142857142841</v>
      </c>
      <c r="G55" s="17">
        <f t="shared" si="9"/>
        <v>18081.428571428551</v>
      </c>
      <c r="H55" s="18">
        <f t="shared" si="10"/>
        <v>79558.285714285623</v>
      </c>
      <c r="I55" s="18">
        <f t="shared" si="12"/>
        <v>0</v>
      </c>
      <c r="J55" s="18">
        <f t="shared" si="11"/>
        <v>79558.285714285623</v>
      </c>
      <c r="K55" s="18" t="s">
        <v>294</v>
      </c>
    </row>
    <row r="56" spans="2:11" x14ac:dyDescent="0.25">
      <c r="B56" s="15" t="s">
        <v>61</v>
      </c>
      <c r="C56" s="7" t="s">
        <v>40</v>
      </c>
      <c r="D56" s="17">
        <v>36163.857142857101</v>
      </c>
      <c r="E56" s="17">
        <f t="shared" si="7"/>
        <v>10849.15714285713</v>
      </c>
      <c r="F56" s="17">
        <f t="shared" si="8"/>
        <v>14465.542857142842</v>
      </c>
      <c r="G56" s="17">
        <f t="shared" si="9"/>
        <v>18081.928571428551</v>
      </c>
      <c r="H56" s="18">
        <f t="shared" si="10"/>
        <v>79560.485714285634</v>
      </c>
      <c r="I56" s="18">
        <f t="shared" si="12"/>
        <v>0</v>
      </c>
      <c r="J56" s="18">
        <f t="shared" si="11"/>
        <v>79560.485714285634</v>
      </c>
      <c r="K56" s="18" t="s">
        <v>295</v>
      </c>
    </row>
    <row r="57" spans="2:11" x14ac:dyDescent="0.25">
      <c r="B57" s="15" t="s">
        <v>61</v>
      </c>
      <c r="C57" s="7" t="s">
        <v>40</v>
      </c>
      <c r="D57" s="17">
        <v>36164.857142857101</v>
      </c>
      <c r="E57" s="17">
        <f t="shared" si="7"/>
        <v>10849.457142857131</v>
      </c>
      <c r="F57" s="17">
        <f t="shared" si="8"/>
        <v>14465.942857142842</v>
      </c>
      <c r="G57" s="17">
        <f t="shared" si="9"/>
        <v>18082.428571428551</v>
      </c>
      <c r="H57" s="18">
        <f t="shared" si="10"/>
        <v>79562.685714285617</v>
      </c>
      <c r="I57" s="18">
        <f t="shared" si="12"/>
        <v>0</v>
      </c>
      <c r="J57" s="18">
        <f t="shared" si="11"/>
        <v>79562.685714285617</v>
      </c>
      <c r="K57" s="18" t="s">
        <v>296</v>
      </c>
    </row>
    <row r="58" spans="2:11" x14ac:dyDescent="0.25">
      <c r="B58" s="15" t="s">
        <v>61</v>
      </c>
      <c r="C58" s="7" t="s">
        <v>40</v>
      </c>
      <c r="D58" s="17">
        <v>36165.857142857101</v>
      </c>
      <c r="E58" s="17">
        <f t="shared" si="7"/>
        <v>10849.75714285713</v>
      </c>
      <c r="F58" s="17">
        <f t="shared" si="8"/>
        <v>14466.342857142841</v>
      </c>
      <c r="G58" s="17">
        <f t="shared" si="9"/>
        <v>18082.928571428551</v>
      </c>
      <c r="H58" s="18">
        <f t="shared" si="10"/>
        <v>79564.885714285629</v>
      </c>
      <c r="I58" s="18">
        <f t="shared" si="12"/>
        <v>0</v>
      </c>
      <c r="J58" s="18">
        <f t="shared" si="11"/>
        <v>79564.885714285629</v>
      </c>
      <c r="K58" s="18" t="s">
        <v>297</v>
      </c>
    </row>
    <row r="59" spans="2:11" x14ac:dyDescent="0.25">
      <c r="B59" s="15" t="s">
        <v>61</v>
      </c>
      <c r="C59" s="7" t="s">
        <v>40</v>
      </c>
      <c r="D59" s="17">
        <v>36166.857142857101</v>
      </c>
      <c r="E59" s="17">
        <f t="shared" si="7"/>
        <v>10850.057142857129</v>
      </c>
      <c r="F59" s="17">
        <f t="shared" si="8"/>
        <v>14466.742857142841</v>
      </c>
      <c r="G59" s="17">
        <f t="shared" si="9"/>
        <v>18083.428571428551</v>
      </c>
      <c r="H59" s="18">
        <f t="shared" si="10"/>
        <v>79567.085714285611</v>
      </c>
      <c r="I59" s="18">
        <f t="shared" si="12"/>
        <v>0</v>
      </c>
      <c r="J59" s="18">
        <f t="shared" si="11"/>
        <v>79567.085714285611</v>
      </c>
      <c r="K59" s="18" t="s">
        <v>231</v>
      </c>
    </row>
    <row r="60" spans="2:11" x14ac:dyDescent="0.25">
      <c r="B60" s="15" t="s">
        <v>61</v>
      </c>
      <c r="C60" s="7" t="s">
        <v>40</v>
      </c>
      <c r="D60" s="17">
        <v>36167.857142857101</v>
      </c>
      <c r="E60" s="17">
        <f t="shared" si="7"/>
        <v>10850.35714285713</v>
      </c>
      <c r="F60" s="17">
        <f t="shared" si="8"/>
        <v>14467.142857142841</v>
      </c>
      <c r="G60" s="17">
        <f t="shared" si="9"/>
        <v>18083.928571428551</v>
      </c>
      <c r="H60" s="18">
        <f t="shared" si="10"/>
        <v>79569.285714285623</v>
      </c>
      <c r="I60" s="18">
        <f t="shared" si="12"/>
        <v>0</v>
      </c>
      <c r="J60" s="18">
        <f t="shared" si="11"/>
        <v>79569.285714285623</v>
      </c>
      <c r="K60" s="18" t="s">
        <v>298</v>
      </c>
    </row>
    <row r="61" spans="2:11" x14ac:dyDescent="0.25">
      <c r="B61" s="15" t="s">
        <v>61</v>
      </c>
      <c r="C61" s="7" t="s">
        <v>40</v>
      </c>
      <c r="D61" s="17">
        <v>36168.857142857101</v>
      </c>
      <c r="E61" s="17">
        <f t="shared" si="7"/>
        <v>10850.65714285713</v>
      </c>
      <c r="F61" s="17">
        <f t="shared" si="8"/>
        <v>14467.542857142842</v>
      </c>
      <c r="G61" s="17">
        <f t="shared" si="9"/>
        <v>18084.428571428551</v>
      </c>
      <c r="H61" s="18">
        <f t="shared" si="10"/>
        <v>79571.485714285634</v>
      </c>
      <c r="I61" s="18">
        <f t="shared" si="12"/>
        <v>0</v>
      </c>
      <c r="J61" s="18">
        <f t="shared" si="11"/>
        <v>79571.485714285634</v>
      </c>
      <c r="K61" s="18" t="s">
        <v>299</v>
      </c>
    </row>
    <row r="62" spans="2:11" x14ac:dyDescent="0.25">
      <c r="B62" s="15" t="s">
        <v>61</v>
      </c>
      <c r="C62" s="7" t="s">
        <v>40</v>
      </c>
      <c r="D62" s="17">
        <v>36169.857142857101</v>
      </c>
      <c r="E62" s="17">
        <f t="shared" si="7"/>
        <v>10850.957142857131</v>
      </c>
      <c r="F62" s="17">
        <f t="shared" si="8"/>
        <v>14467.942857142842</v>
      </c>
      <c r="G62" s="17">
        <f t="shared" si="9"/>
        <v>18084.928571428551</v>
      </c>
      <c r="H62" s="18">
        <f t="shared" si="10"/>
        <v>79573.685714285617</v>
      </c>
      <c r="I62" s="18">
        <f t="shared" si="12"/>
        <v>0</v>
      </c>
      <c r="J62" s="18">
        <f t="shared" si="11"/>
        <v>79573.685714285617</v>
      </c>
      <c r="K62" s="18" t="s">
        <v>300</v>
      </c>
    </row>
    <row r="63" spans="2:11" x14ac:dyDescent="0.25">
      <c r="B63" s="15" t="s">
        <v>61</v>
      </c>
      <c r="C63" s="7" t="s">
        <v>40</v>
      </c>
      <c r="D63" s="17">
        <v>36170.857142857101</v>
      </c>
      <c r="E63" s="17">
        <f t="shared" si="7"/>
        <v>10851.25714285713</v>
      </c>
      <c r="F63" s="17">
        <f t="shared" si="8"/>
        <v>14468.342857142841</v>
      </c>
      <c r="G63" s="17">
        <f t="shared" si="9"/>
        <v>18085.428571428551</v>
      </c>
      <c r="H63" s="18">
        <f t="shared" si="10"/>
        <v>79575.885714285629</v>
      </c>
      <c r="I63" s="18">
        <f t="shared" si="12"/>
        <v>0</v>
      </c>
      <c r="J63" s="18">
        <f t="shared" si="11"/>
        <v>79575.885714285629</v>
      </c>
      <c r="K63" s="18" t="s">
        <v>301</v>
      </c>
    </row>
    <row r="64" spans="2:11" x14ac:dyDescent="0.25">
      <c r="B64" s="15" t="s">
        <v>61</v>
      </c>
      <c r="C64" s="7" t="s">
        <v>40</v>
      </c>
      <c r="D64" s="17">
        <v>36171.857142857101</v>
      </c>
      <c r="E64" s="17">
        <f t="shared" si="7"/>
        <v>10851.557142857129</v>
      </c>
      <c r="F64" s="17">
        <f t="shared" si="8"/>
        <v>14468.742857142841</v>
      </c>
      <c r="G64" s="17">
        <f t="shared" si="9"/>
        <v>18085.928571428551</v>
      </c>
      <c r="H64" s="18">
        <f t="shared" si="10"/>
        <v>79578.085714285611</v>
      </c>
      <c r="I64" s="18">
        <f t="shared" si="12"/>
        <v>0</v>
      </c>
      <c r="J64" s="18">
        <f t="shared" si="11"/>
        <v>79578.085714285611</v>
      </c>
      <c r="K64" s="18" t="s">
        <v>291</v>
      </c>
    </row>
    <row r="65" spans="2:11" x14ac:dyDescent="0.25">
      <c r="B65" s="15" t="s">
        <v>61</v>
      </c>
      <c r="C65" s="7" t="s">
        <v>40</v>
      </c>
      <c r="D65" s="17">
        <v>36172.857142857101</v>
      </c>
      <c r="E65" s="17">
        <f t="shared" ref="E65:E96" si="13">IF(C65="A", D65*30%, IF(C65="B", D65*25%, IF(C65="C", D65*20%, D65*15%)))</f>
        <v>10851.85714285713</v>
      </c>
      <c r="F65" s="17">
        <f t="shared" ref="F65:F96" si="14">IF(C65="A", D65*40%, IF(C65="B", D65*35%, IF(C65="C", D65*30%, D65*20%)))</f>
        <v>14469.142857142841</v>
      </c>
      <c r="G65" s="17">
        <f t="shared" ref="G65:G96" si="15">IF(C65="A",D65*50%,IF(C65="B",D65*40%,IF(C65="C",D65*30%,D65*20%)))</f>
        <v>18086.428571428551</v>
      </c>
      <c r="H65" s="18">
        <f t="shared" si="10"/>
        <v>79580.285714285623</v>
      </c>
      <c r="I65" s="18">
        <f t="shared" si="12"/>
        <v>0</v>
      </c>
      <c r="J65" s="18">
        <f t="shared" si="11"/>
        <v>79580.285714285623</v>
      </c>
      <c r="K65" s="18" t="s">
        <v>292</v>
      </c>
    </row>
    <row r="66" spans="2:11" x14ac:dyDescent="0.25">
      <c r="B66" s="15" t="s">
        <v>61</v>
      </c>
      <c r="C66" s="7" t="s">
        <v>40</v>
      </c>
      <c r="D66" s="17">
        <v>36173.857142857101</v>
      </c>
      <c r="E66" s="17">
        <f t="shared" si="13"/>
        <v>10852.15714285713</v>
      </c>
      <c r="F66" s="17">
        <f t="shared" si="14"/>
        <v>14469.542857142842</v>
      </c>
      <c r="G66" s="17">
        <f t="shared" si="15"/>
        <v>18086.928571428551</v>
      </c>
      <c r="H66" s="18">
        <f t="shared" ref="H66:H97" si="16">SUM(D66:G66)</f>
        <v>79582.485714285634</v>
      </c>
      <c r="I66" s="18">
        <f t="shared" si="12"/>
        <v>0</v>
      </c>
      <c r="J66" s="18">
        <f t="shared" ref="J66:J97" si="17">H66-I66</f>
        <v>79582.485714285634</v>
      </c>
      <c r="K66" s="18" t="s">
        <v>293</v>
      </c>
    </row>
    <row r="67" spans="2:11" x14ac:dyDescent="0.25">
      <c r="B67" s="15" t="s">
        <v>61</v>
      </c>
      <c r="C67" s="7" t="s">
        <v>40</v>
      </c>
      <c r="D67" s="17">
        <v>36174.857142857101</v>
      </c>
      <c r="E67" s="17">
        <f t="shared" si="13"/>
        <v>10852.457142857131</v>
      </c>
      <c r="F67" s="17">
        <f t="shared" si="14"/>
        <v>14469.942857142842</v>
      </c>
      <c r="G67" s="17">
        <f t="shared" si="15"/>
        <v>18087.428571428551</v>
      </c>
      <c r="H67" s="18">
        <f t="shared" si="16"/>
        <v>79584.685714285617</v>
      </c>
      <c r="I67" s="18">
        <f t="shared" si="12"/>
        <v>0</v>
      </c>
      <c r="J67" s="18">
        <f t="shared" si="17"/>
        <v>79584.685714285617</v>
      </c>
      <c r="K67" s="18" t="s">
        <v>294</v>
      </c>
    </row>
    <row r="68" spans="2:11" x14ac:dyDescent="0.25">
      <c r="B68" s="15" t="s">
        <v>61</v>
      </c>
      <c r="C68" s="7" t="s">
        <v>40</v>
      </c>
      <c r="D68" s="17">
        <v>36175.857142857101</v>
      </c>
      <c r="E68" s="17">
        <f t="shared" si="13"/>
        <v>10852.75714285713</v>
      </c>
      <c r="F68" s="17">
        <f t="shared" si="14"/>
        <v>14470.342857142841</v>
      </c>
      <c r="G68" s="17">
        <f t="shared" si="15"/>
        <v>18087.928571428551</v>
      </c>
      <c r="H68" s="18">
        <f t="shared" si="16"/>
        <v>79586.885714285629</v>
      </c>
      <c r="I68" s="18">
        <f t="shared" si="12"/>
        <v>0</v>
      </c>
      <c r="J68" s="18">
        <f t="shared" si="17"/>
        <v>79586.885714285629</v>
      </c>
      <c r="K68" s="18" t="s">
        <v>295</v>
      </c>
    </row>
    <row r="69" spans="2:11" x14ac:dyDescent="0.25">
      <c r="B69" s="15" t="s">
        <v>61</v>
      </c>
      <c r="C69" s="7" t="s">
        <v>40</v>
      </c>
      <c r="D69" s="17">
        <v>36176.857142857101</v>
      </c>
      <c r="E69" s="17">
        <f t="shared" si="13"/>
        <v>10853.057142857129</v>
      </c>
      <c r="F69" s="17">
        <f t="shared" si="14"/>
        <v>14470.742857142841</v>
      </c>
      <c r="G69" s="17">
        <f t="shared" si="15"/>
        <v>18088.428571428551</v>
      </c>
      <c r="H69" s="18">
        <f t="shared" si="16"/>
        <v>79589.085714285611</v>
      </c>
      <c r="I69" s="18">
        <f t="shared" ref="I69:I100" si="18">IF(H69&gt;=100000, H69*10%, 0)</f>
        <v>0</v>
      </c>
      <c r="J69" s="18">
        <f t="shared" si="17"/>
        <v>79589.085714285611</v>
      </c>
      <c r="K69" s="18" t="s">
        <v>296</v>
      </c>
    </row>
    <row r="70" spans="2:11" x14ac:dyDescent="0.25">
      <c r="B70" s="15" t="s">
        <v>61</v>
      </c>
      <c r="C70" s="7" t="s">
        <v>40</v>
      </c>
      <c r="D70" s="17">
        <v>36177.857142857101</v>
      </c>
      <c r="E70" s="17">
        <f t="shared" si="13"/>
        <v>10853.35714285713</v>
      </c>
      <c r="F70" s="17">
        <f t="shared" si="14"/>
        <v>14471.142857142841</v>
      </c>
      <c r="G70" s="17">
        <f t="shared" si="15"/>
        <v>18088.928571428551</v>
      </c>
      <c r="H70" s="18">
        <f t="shared" si="16"/>
        <v>79591.285714285623</v>
      </c>
      <c r="I70" s="18">
        <f t="shared" si="18"/>
        <v>0</v>
      </c>
      <c r="J70" s="18">
        <f t="shared" si="17"/>
        <v>79591.285714285623</v>
      </c>
      <c r="K70" s="18" t="s">
        <v>297</v>
      </c>
    </row>
    <row r="71" spans="2:11" x14ac:dyDescent="0.25">
      <c r="B71" s="15" t="s">
        <v>61</v>
      </c>
      <c r="C71" s="7" t="s">
        <v>40</v>
      </c>
      <c r="D71" s="17">
        <v>36178.857142857101</v>
      </c>
      <c r="E71" s="17">
        <f t="shared" si="13"/>
        <v>10853.65714285713</v>
      </c>
      <c r="F71" s="17">
        <f t="shared" si="14"/>
        <v>14471.542857142842</v>
      </c>
      <c r="G71" s="17">
        <f t="shared" si="15"/>
        <v>18089.428571428551</v>
      </c>
      <c r="H71" s="18">
        <f t="shared" si="16"/>
        <v>79593.485714285634</v>
      </c>
      <c r="I71" s="18">
        <f t="shared" si="18"/>
        <v>0</v>
      </c>
      <c r="J71" s="18">
        <f t="shared" si="17"/>
        <v>79593.485714285634</v>
      </c>
      <c r="K71" s="18" t="s">
        <v>231</v>
      </c>
    </row>
    <row r="72" spans="2:11" x14ac:dyDescent="0.25">
      <c r="B72" s="15" t="s">
        <v>61</v>
      </c>
      <c r="C72" s="7" t="s">
        <v>40</v>
      </c>
      <c r="D72" s="17">
        <v>36179.857142857101</v>
      </c>
      <c r="E72" s="17">
        <f t="shared" si="13"/>
        <v>10853.957142857131</v>
      </c>
      <c r="F72" s="17">
        <f t="shared" si="14"/>
        <v>14471.942857142842</v>
      </c>
      <c r="G72" s="17">
        <f t="shared" si="15"/>
        <v>18089.928571428551</v>
      </c>
      <c r="H72" s="18">
        <f t="shared" si="16"/>
        <v>79595.685714285617</v>
      </c>
      <c r="I72" s="18">
        <f t="shared" si="18"/>
        <v>0</v>
      </c>
      <c r="J72" s="18">
        <f t="shared" si="17"/>
        <v>79595.685714285617</v>
      </c>
      <c r="K72" s="18" t="s">
        <v>298</v>
      </c>
    </row>
    <row r="73" spans="2:11" x14ac:dyDescent="0.25">
      <c r="B73" s="15" t="s">
        <v>61</v>
      </c>
      <c r="C73" s="7" t="s">
        <v>40</v>
      </c>
      <c r="D73" s="17">
        <v>36180.857142857101</v>
      </c>
      <c r="E73" s="17">
        <f t="shared" si="13"/>
        <v>10854.25714285713</v>
      </c>
      <c r="F73" s="17">
        <f t="shared" si="14"/>
        <v>14472.342857142841</v>
      </c>
      <c r="G73" s="17">
        <f t="shared" si="15"/>
        <v>18090.428571428551</v>
      </c>
      <c r="H73" s="18">
        <f t="shared" si="16"/>
        <v>79597.885714285629</v>
      </c>
      <c r="I73" s="18">
        <f t="shared" si="18"/>
        <v>0</v>
      </c>
      <c r="J73" s="18">
        <f t="shared" si="17"/>
        <v>79597.885714285629</v>
      </c>
      <c r="K73" s="18" t="s">
        <v>299</v>
      </c>
    </row>
    <row r="74" spans="2:11" x14ac:dyDescent="0.25">
      <c r="B74" s="15" t="s">
        <v>61</v>
      </c>
      <c r="C74" s="7" t="s">
        <v>40</v>
      </c>
      <c r="D74" s="17">
        <v>36181.857142857101</v>
      </c>
      <c r="E74" s="17">
        <f t="shared" si="13"/>
        <v>10854.557142857129</v>
      </c>
      <c r="F74" s="17">
        <f t="shared" si="14"/>
        <v>14472.742857142841</v>
      </c>
      <c r="G74" s="17">
        <f t="shared" si="15"/>
        <v>18090.928571428551</v>
      </c>
      <c r="H74" s="18">
        <f t="shared" si="16"/>
        <v>79600.085714285611</v>
      </c>
      <c r="I74" s="18">
        <f t="shared" si="18"/>
        <v>0</v>
      </c>
      <c r="J74" s="18">
        <f t="shared" si="17"/>
        <v>79600.085714285611</v>
      </c>
      <c r="K74" s="18" t="s">
        <v>300</v>
      </c>
    </row>
    <row r="75" spans="2:11" x14ac:dyDescent="0.25">
      <c r="B75" s="15" t="s">
        <v>61</v>
      </c>
      <c r="C75" s="7" t="s">
        <v>40</v>
      </c>
      <c r="D75" s="17">
        <v>36182.857142857101</v>
      </c>
      <c r="E75" s="17">
        <f t="shared" si="13"/>
        <v>10854.85714285713</v>
      </c>
      <c r="F75" s="17">
        <f t="shared" si="14"/>
        <v>14473.142857142841</v>
      </c>
      <c r="G75" s="17">
        <f t="shared" si="15"/>
        <v>18091.428571428551</v>
      </c>
      <c r="H75" s="18">
        <f t="shared" si="16"/>
        <v>79602.285714285623</v>
      </c>
      <c r="I75" s="18">
        <f t="shared" si="18"/>
        <v>0</v>
      </c>
      <c r="J75" s="18">
        <f t="shared" si="17"/>
        <v>79602.285714285623</v>
      </c>
      <c r="K75" s="18" t="s">
        <v>301</v>
      </c>
    </row>
    <row r="76" spans="2:11" x14ac:dyDescent="0.25">
      <c r="B76" s="15" t="s">
        <v>61</v>
      </c>
      <c r="C76" s="7" t="s">
        <v>40</v>
      </c>
      <c r="D76" s="17">
        <v>36183.857142857101</v>
      </c>
      <c r="E76" s="17">
        <f t="shared" si="13"/>
        <v>10855.15714285713</v>
      </c>
      <c r="F76" s="17">
        <f t="shared" si="14"/>
        <v>14473.542857142842</v>
      </c>
      <c r="G76" s="17">
        <f t="shared" si="15"/>
        <v>18091.928571428551</v>
      </c>
      <c r="H76" s="18">
        <f t="shared" si="16"/>
        <v>79604.485714285634</v>
      </c>
      <c r="I76" s="18">
        <f t="shared" si="18"/>
        <v>0</v>
      </c>
      <c r="J76" s="18">
        <f t="shared" si="17"/>
        <v>79604.485714285634</v>
      </c>
      <c r="K76" s="18" t="s">
        <v>291</v>
      </c>
    </row>
    <row r="77" spans="2:11" x14ac:dyDescent="0.25">
      <c r="B77" s="15" t="s">
        <v>61</v>
      </c>
      <c r="C77" s="7" t="s">
        <v>40</v>
      </c>
      <c r="D77" s="17">
        <v>36184.857142857101</v>
      </c>
      <c r="E77" s="17">
        <f t="shared" si="13"/>
        <v>10855.457142857131</v>
      </c>
      <c r="F77" s="17">
        <f t="shared" si="14"/>
        <v>14473.942857142842</v>
      </c>
      <c r="G77" s="17">
        <f t="shared" si="15"/>
        <v>18092.428571428551</v>
      </c>
      <c r="H77" s="18">
        <f t="shared" si="16"/>
        <v>79606.685714285617</v>
      </c>
      <c r="I77" s="18">
        <f t="shared" si="18"/>
        <v>0</v>
      </c>
      <c r="J77" s="18">
        <f t="shared" si="17"/>
        <v>79606.685714285617</v>
      </c>
      <c r="K77" s="18" t="s">
        <v>292</v>
      </c>
    </row>
    <row r="78" spans="2:11" x14ac:dyDescent="0.25">
      <c r="B78" s="15" t="s">
        <v>61</v>
      </c>
      <c r="C78" s="7" t="s">
        <v>40</v>
      </c>
      <c r="D78" s="17">
        <v>36185.857142857101</v>
      </c>
      <c r="E78" s="17">
        <f t="shared" si="13"/>
        <v>10855.75714285713</v>
      </c>
      <c r="F78" s="17">
        <f t="shared" si="14"/>
        <v>14474.342857142841</v>
      </c>
      <c r="G78" s="17">
        <f t="shared" si="15"/>
        <v>18092.928571428551</v>
      </c>
      <c r="H78" s="18">
        <f t="shared" si="16"/>
        <v>79608.885714285629</v>
      </c>
      <c r="I78" s="18">
        <f t="shared" si="18"/>
        <v>0</v>
      </c>
      <c r="J78" s="18">
        <f t="shared" si="17"/>
        <v>79608.885714285629</v>
      </c>
      <c r="K78" s="18" t="s">
        <v>293</v>
      </c>
    </row>
    <row r="79" spans="2:11" x14ac:dyDescent="0.25">
      <c r="B79" s="15" t="s">
        <v>61</v>
      </c>
      <c r="C79" s="7" t="s">
        <v>40</v>
      </c>
      <c r="D79" s="17">
        <v>36186.857142857101</v>
      </c>
      <c r="E79" s="17">
        <f t="shared" si="13"/>
        <v>10856.057142857129</v>
      </c>
      <c r="F79" s="17">
        <f t="shared" si="14"/>
        <v>14474.742857142841</v>
      </c>
      <c r="G79" s="17">
        <f t="shared" si="15"/>
        <v>18093.428571428551</v>
      </c>
      <c r="H79" s="18">
        <f t="shared" si="16"/>
        <v>79611.085714285611</v>
      </c>
      <c r="I79" s="18">
        <f t="shared" si="18"/>
        <v>0</v>
      </c>
      <c r="J79" s="18">
        <f t="shared" si="17"/>
        <v>79611.085714285611</v>
      </c>
      <c r="K79" s="18" t="s">
        <v>294</v>
      </c>
    </row>
    <row r="80" spans="2:11" x14ac:dyDescent="0.25">
      <c r="B80" s="15" t="s">
        <v>61</v>
      </c>
      <c r="C80" s="7" t="s">
        <v>40</v>
      </c>
      <c r="D80" s="17">
        <v>36187.857142857101</v>
      </c>
      <c r="E80" s="17">
        <f t="shared" si="13"/>
        <v>10856.35714285713</v>
      </c>
      <c r="F80" s="17">
        <f t="shared" si="14"/>
        <v>14475.142857142841</v>
      </c>
      <c r="G80" s="17">
        <f t="shared" si="15"/>
        <v>18093.928571428551</v>
      </c>
      <c r="H80" s="18">
        <f t="shared" si="16"/>
        <v>79613.285714285623</v>
      </c>
      <c r="I80" s="18">
        <f t="shared" si="18"/>
        <v>0</v>
      </c>
      <c r="J80" s="18">
        <f t="shared" si="17"/>
        <v>79613.285714285623</v>
      </c>
      <c r="K80" s="18" t="s">
        <v>295</v>
      </c>
    </row>
    <row r="81" spans="2:11" x14ac:dyDescent="0.25">
      <c r="B81" s="15" t="s">
        <v>61</v>
      </c>
      <c r="C81" s="7" t="s">
        <v>40</v>
      </c>
      <c r="D81" s="17">
        <v>36188.857142857101</v>
      </c>
      <c r="E81" s="17">
        <f t="shared" si="13"/>
        <v>10856.65714285713</v>
      </c>
      <c r="F81" s="17">
        <f t="shared" si="14"/>
        <v>14475.542857142842</v>
      </c>
      <c r="G81" s="17">
        <f t="shared" si="15"/>
        <v>18094.428571428551</v>
      </c>
      <c r="H81" s="18">
        <f t="shared" si="16"/>
        <v>79615.485714285634</v>
      </c>
      <c r="I81" s="18">
        <f t="shared" si="18"/>
        <v>0</v>
      </c>
      <c r="J81" s="18">
        <f t="shared" si="17"/>
        <v>79615.485714285634</v>
      </c>
      <c r="K81" s="18" t="s">
        <v>296</v>
      </c>
    </row>
    <row r="82" spans="2:11" x14ac:dyDescent="0.25">
      <c r="B82" s="15" t="s">
        <v>61</v>
      </c>
      <c r="C82" s="7" t="s">
        <v>40</v>
      </c>
      <c r="D82" s="17">
        <v>36189.857142857101</v>
      </c>
      <c r="E82" s="17">
        <f t="shared" si="13"/>
        <v>10856.957142857131</v>
      </c>
      <c r="F82" s="17">
        <f t="shared" si="14"/>
        <v>14475.942857142842</v>
      </c>
      <c r="G82" s="17">
        <f t="shared" si="15"/>
        <v>18094.928571428551</v>
      </c>
      <c r="H82" s="18">
        <f t="shared" si="16"/>
        <v>79617.685714285617</v>
      </c>
      <c r="I82" s="18">
        <f t="shared" si="18"/>
        <v>0</v>
      </c>
      <c r="J82" s="18">
        <f t="shared" si="17"/>
        <v>79617.685714285617</v>
      </c>
      <c r="K82" s="18" t="s">
        <v>297</v>
      </c>
    </row>
    <row r="83" spans="2:11" x14ac:dyDescent="0.25">
      <c r="B83" s="15" t="s">
        <v>61</v>
      </c>
      <c r="C83" s="7" t="s">
        <v>40</v>
      </c>
      <c r="D83" s="17">
        <v>36190.857142857101</v>
      </c>
      <c r="E83" s="17">
        <f t="shared" si="13"/>
        <v>10857.25714285713</v>
      </c>
      <c r="F83" s="17">
        <f t="shared" si="14"/>
        <v>14476.342857142841</v>
      </c>
      <c r="G83" s="17">
        <f t="shared" si="15"/>
        <v>18095.428571428551</v>
      </c>
      <c r="H83" s="18">
        <f t="shared" si="16"/>
        <v>79619.885714285629</v>
      </c>
      <c r="I83" s="18">
        <f t="shared" si="18"/>
        <v>0</v>
      </c>
      <c r="J83" s="18">
        <f t="shared" si="17"/>
        <v>79619.885714285629</v>
      </c>
      <c r="K83" s="18" t="s">
        <v>231</v>
      </c>
    </row>
    <row r="84" spans="2:11" x14ac:dyDescent="0.25">
      <c r="B84" s="15" t="s">
        <v>61</v>
      </c>
      <c r="C84" s="7" t="s">
        <v>40</v>
      </c>
      <c r="D84" s="17">
        <v>36191.857142857101</v>
      </c>
      <c r="E84" s="17">
        <f t="shared" si="13"/>
        <v>10857.557142857129</v>
      </c>
      <c r="F84" s="17">
        <f t="shared" si="14"/>
        <v>14476.742857142841</v>
      </c>
      <c r="G84" s="17">
        <f t="shared" si="15"/>
        <v>18095.928571428551</v>
      </c>
      <c r="H84" s="18">
        <f t="shared" si="16"/>
        <v>79622.085714285611</v>
      </c>
      <c r="I84" s="18">
        <f t="shared" si="18"/>
        <v>0</v>
      </c>
      <c r="J84" s="18">
        <f t="shared" si="17"/>
        <v>79622.085714285611</v>
      </c>
      <c r="K84" s="18" t="s">
        <v>298</v>
      </c>
    </row>
    <row r="85" spans="2:11" x14ac:dyDescent="0.25">
      <c r="B85" s="15" t="s">
        <v>61</v>
      </c>
      <c r="C85" s="7" t="s">
        <v>40</v>
      </c>
      <c r="D85" s="17">
        <v>36192.857142857101</v>
      </c>
      <c r="E85" s="17">
        <f t="shared" si="13"/>
        <v>10857.85714285713</v>
      </c>
      <c r="F85" s="17">
        <f t="shared" si="14"/>
        <v>14477.142857142841</v>
      </c>
      <c r="G85" s="17">
        <f t="shared" si="15"/>
        <v>18096.428571428551</v>
      </c>
      <c r="H85" s="18">
        <f t="shared" si="16"/>
        <v>79624.285714285623</v>
      </c>
      <c r="I85" s="18">
        <f t="shared" si="18"/>
        <v>0</v>
      </c>
      <c r="J85" s="18">
        <f t="shared" si="17"/>
        <v>79624.285714285623</v>
      </c>
      <c r="K85" s="18" t="s">
        <v>299</v>
      </c>
    </row>
    <row r="86" spans="2:11" x14ac:dyDescent="0.25">
      <c r="B86" s="15" t="s">
        <v>61</v>
      </c>
      <c r="C86" s="7" t="s">
        <v>40</v>
      </c>
      <c r="D86" s="17">
        <v>36193.857142857101</v>
      </c>
      <c r="E86" s="17">
        <f t="shared" si="13"/>
        <v>10858.15714285713</v>
      </c>
      <c r="F86" s="17">
        <f t="shared" si="14"/>
        <v>14477.542857142842</v>
      </c>
      <c r="G86" s="17">
        <f t="shared" si="15"/>
        <v>18096.928571428551</v>
      </c>
      <c r="H86" s="18">
        <f t="shared" si="16"/>
        <v>79626.485714285634</v>
      </c>
      <c r="I86" s="18">
        <f t="shared" si="18"/>
        <v>0</v>
      </c>
      <c r="J86" s="18">
        <f t="shared" si="17"/>
        <v>79626.485714285634</v>
      </c>
      <c r="K86" s="18" t="s">
        <v>300</v>
      </c>
    </row>
    <row r="87" spans="2:11" x14ac:dyDescent="0.25">
      <c r="B87" s="15" t="s">
        <v>61</v>
      </c>
      <c r="C87" s="7" t="s">
        <v>40</v>
      </c>
      <c r="D87" s="17">
        <v>36194.857142857101</v>
      </c>
      <c r="E87" s="17">
        <f t="shared" si="13"/>
        <v>10858.457142857131</v>
      </c>
      <c r="F87" s="17">
        <f t="shared" si="14"/>
        <v>14477.942857142842</v>
      </c>
      <c r="G87" s="17">
        <f t="shared" si="15"/>
        <v>18097.428571428551</v>
      </c>
      <c r="H87" s="18">
        <f t="shared" si="16"/>
        <v>79628.685714285617</v>
      </c>
      <c r="I87" s="18">
        <f t="shared" si="18"/>
        <v>0</v>
      </c>
      <c r="J87" s="18">
        <f t="shared" si="17"/>
        <v>79628.685714285617</v>
      </c>
      <c r="K87" s="18" t="s">
        <v>301</v>
      </c>
    </row>
    <row r="88" spans="2:11" x14ac:dyDescent="0.25">
      <c r="B88" s="15" t="s">
        <v>61</v>
      </c>
      <c r="C88" s="7" t="s">
        <v>40</v>
      </c>
      <c r="D88" s="17">
        <v>36195.857142857101</v>
      </c>
      <c r="E88" s="17">
        <f t="shared" si="13"/>
        <v>10858.75714285713</v>
      </c>
      <c r="F88" s="17">
        <f t="shared" si="14"/>
        <v>14478.342857142841</v>
      </c>
      <c r="G88" s="17">
        <f t="shared" si="15"/>
        <v>18097.928571428551</v>
      </c>
      <c r="H88" s="18">
        <f t="shared" si="16"/>
        <v>79630.885714285629</v>
      </c>
      <c r="I88" s="18">
        <f t="shared" si="18"/>
        <v>0</v>
      </c>
      <c r="J88" s="18">
        <f t="shared" si="17"/>
        <v>79630.885714285629</v>
      </c>
      <c r="K88" s="18" t="s">
        <v>291</v>
      </c>
    </row>
    <row r="89" spans="2:11" x14ac:dyDescent="0.25">
      <c r="B89" s="15" t="s">
        <v>61</v>
      </c>
      <c r="C89" s="7" t="s">
        <v>40</v>
      </c>
      <c r="D89" s="17">
        <v>36196.857142857101</v>
      </c>
      <c r="E89" s="17">
        <f t="shared" si="13"/>
        <v>10859.057142857129</v>
      </c>
      <c r="F89" s="17">
        <f t="shared" si="14"/>
        <v>14478.742857142841</v>
      </c>
      <c r="G89" s="17">
        <f t="shared" si="15"/>
        <v>18098.428571428551</v>
      </c>
      <c r="H89" s="18">
        <f t="shared" si="16"/>
        <v>79633.085714285611</v>
      </c>
      <c r="I89" s="18">
        <f t="shared" si="18"/>
        <v>0</v>
      </c>
      <c r="J89" s="18">
        <f t="shared" si="17"/>
        <v>79633.085714285611</v>
      </c>
      <c r="K89" s="18" t="s">
        <v>292</v>
      </c>
    </row>
    <row r="90" spans="2:11" x14ac:dyDescent="0.25">
      <c r="B90" s="15" t="s">
        <v>61</v>
      </c>
      <c r="C90" s="7" t="s">
        <v>40</v>
      </c>
      <c r="D90" s="17">
        <v>36197.857142857101</v>
      </c>
      <c r="E90" s="17">
        <f t="shared" si="13"/>
        <v>10859.35714285713</v>
      </c>
      <c r="F90" s="17">
        <f t="shared" si="14"/>
        <v>14479.142857142841</v>
      </c>
      <c r="G90" s="17">
        <f t="shared" si="15"/>
        <v>18098.928571428551</v>
      </c>
      <c r="H90" s="18">
        <f t="shared" si="16"/>
        <v>79635.285714285623</v>
      </c>
      <c r="I90" s="18">
        <f t="shared" si="18"/>
        <v>0</v>
      </c>
      <c r="J90" s="18">
        <f t="shared" si="17"/>
        <v>79635.285714285623</v>
      </c>
      <c r="K90" s="18" t="s">
        <v>293</v>
      </c>
    </row>
    <row r="91" spans="2:11" x14ac:dyDescent="0.25">
      <c r="B91" s="15" t="s">
        <v>61</v>
      </c>
      <c r="C91" s="7" t="s">
        <v>40</v>
      </c>
      <c r="D91" s="17">
        <v>36198.857142857101</v>
      </c>
      <c r="E91" s="17">
        <f t="shared" si="13"/>
        <v>10859.65714285713</v>
      </c>
      <c r="F91" s="17">
        <f t="shared" si="14"/>
        <v>14479.542857142842</v>
      </c>
      <c r="G91" s="17">
        <f t="shared" si="15"/>
        <v>18099.428571428551</v>
      </c>
      <c r="H91" s="18">
        <f t="shared" si="16"/>
        <v>79637.485714285634</v>
      </c>
      <c r="I91" s="18">
        <f t="shared" si="18"/>
        <v>0</v>
      </c>
      <c r="J91" s="18">
        <f t="shared" si="17"/>
        <v>79637.485714285634</v>
      </c>
      <c r="K91" s="18" t="s">
        <v>294</v>
      </c>
    </row>
    <row r="92" spans="2:11" x14ac:dyDescent="0.25">
      <c r="B92" s="15" t="s">
        <v>61</v>
      </c>
      <c r="C92" s="7" t="s">
        <v>40</v>
      </c>
      <c r="D92" s="17">
        <v>36199.857142857101</v>
      </c>
      <c r="E92" s="17">
        <f t="shared" si="13"/>
        <v>10859.957142857131</v>
      </c>
      <c r="F92" s="17">
        <f t="shared" si="14"/>
        <v>14479.942857142842</v>
      </c>
      <c r="G92" s="17">
        <f t="shared" si="15"/>
        <v>18099.928571428551</v>
      </c>
      <c r="H92" s="18">
        <f t="shared" si="16"/>
        <v>79639.685714285617</v>
      </c>
      <c r="I92" s="18">
        <f t="shared" si="18"/>
        <v>0</v>
      </c>
      <c r="J92" s="18">
        <f t="shared" si="17"/>
        <v>79639.685714285617</v>
      </c>
      <c r="K92" s="18" t="s">
        <v>295</v>
      </c>
    </row>
    <row r="93" spans="2:11" x14ac:dyDescent="0.25">
      <c r="B93" s="15" t="s">
        <v>61</v>
      </c>
      <c r="C93" s="7" t="s">
        <v>40</v>
      </c>
      <c r="D93" s="17">
        <v>36200.857142857101</v>
      </c>
      <c r="E93" s="17">
        <f t="shared" si="13"/>
        <v>10860.25714285713</v>
      </c>
      <c r="F93" s="17">
        <f t="shared" si="14"/>
        <v>14480.342857142841</v>
      </c>
      <c r="G93" s="17">
        <f t="shared" si="15"/>
        <v>18100.428571428551</v>
      </c>
      <c r="H93" s="18">
        <f t="shared" si="16"/>
        <v>79641.885714285629</v>
      </c>
      <c r="I93" s="18">
        <f t="shared" si="18"/>
        <v>0</v>
      </c>
      <c r="J93" s="18">
        <f t="shared" si="17"/>
        <v>79641.885714285629</v>
      </c>
      <c r="K93" s="18" t="s">
        <v>296</v>
      </c>
    </row>
    <row r="94" spans="2:11" x14ac:dyDescent="0.25">
      <c r="B94" s="15" t="s">
        <v>61</v>
      </c>
      <c r="C94" s="7" t="s">
        <v>40</v>
      </c>
      <c r="D94" s="17">
        <v>36201.857142857101</v>
      </c>
      <c r="E94" s="17">
        <f t="shared" si="13"/>
        <v>10860.557142857129</v>
      </c>
      <c r="F94" s="17">
        <f t="shared" si="14"/>
        <v>14480.742857142841</v>
      </c>
      <c r="G94" s="17">
        <f t="shared" si="15"/>
        <v>18100.928571428551</v>
      </c>
      <c r="H94" s="18">
        <f t="shared" si="16"/>
        <v>79644.085714285611</v>
      </c>
      <c r="I94" s="18">
        <f t="shared" si="18"/>
        <v>0</v>
      </c>
      <c r="J94" s="18">
        <f t="shared" si="17"/>
        <v>79644.085714285611</v>
      </c>
      <c r="K94" s="18" t="s">
        <v>297</v>
      </c>
    </row>
    <row r="95" spans="2:11" x14ac:dyDescent="0.25">
      <c r="B95" s="15" t="s">
        <v>61</v>
      </c>
      <c r="C95" s="7" t="s">
        <v>40</v>
      </c>
      <c r="D95" s="17">
        <v>36202.857142857101</v>
      </c>
      <c r="E95" s="17">
        <f t="shared" si="13"/>
        <v>10860.85714285713</v>
      </c>
      <c r="F95" s="17">
        <f t="shared" si="14"/>
        <v>14481.142857142841</v>
      </c>
      <c r="G95" s="17">
        <f t="shared" si="15"/>
        <v>18101.428571428551</v>
      </c>
      <c r="H95" s="18">
        <f t="shared" si="16"/>
        <v>79646.285714285623</v>
      </c>
      <c r="I95" s="18">
        <f t="shared" si="18"/>
        <v>0</v>
      </c>
      <c r="J95" s="18">
        <f t="shared" si="17"/>
        <v>79646.285714285623</v>
      </c>
      <c r="K95" s="18" t="s">
        <v>231</v>
      </c>
    </row>
    <row r="96" spans="2:11" x14ac:dyDescent="0.25">
      <c r="B96" s="15" t="s">
        <v>61</v>
      </c>
      <c r="C96" s="7" t="s">
        <v>40</v>
      </c>
      <c r="D96" s="17">
        <v>36203.857142857101</v>
      </c>
      <c r="E96" s="17">
        <f t="shared" si="13"/>
        <v>10861.15714285713</v>
      </c>
      <c r="F96" s="17">
        <f t="shared" si="14"/>
        <v>14481.542857142842</v>
      </c>
      <c r="G96" s="17">
        <f t="shared" si="15"/>
        <v>18101.928571428551</v>
      </c>
      <c r="H96" s="18">
        <f t="shared" si="16"/>
        <v>79648.485714285634</v>
      </c>
      <c r="I96" s="18">
        <f t="shared" si="18"/>
        <v>0</v>
      </c>
      <c r="J96" s="18">
        <f t="shared" si="17"/>
        <v>79648.485714285634</v>
      </c>
      <c r="K96" s="18" t="s">
        <v>298</v>
      </c>
    </row>
    <row r="97" spans="2:11" x14ac:dyDescent="0.25">
      <c r="B97" s="15" t="s">
        <v>61</v>
      </c>
      <c r="C97" s="7" t="s">
        <v>40</v>
      </c>
      <c r="D97" s="17">
        <v>36204.857142857101</v>
      </c>
      <c r="E97" s="17">
        <f t="shared" ref="E97:E128" si="19">IF(C97="A", D97*30%, IF(C97="B", D97*25%, IF(C97="C", D97*20%, D97*15%)))</f>
        <v>10861.457142857131</v>
      </c>
      <c r="F97" s="17">
        <f t="shared" ref="F97:F128" si="20">IF(C97="A", D97*40%, IF(C97="B", D97*35%, IF(C97="C", D97*30%, D97*20%)))</f>
        <v>14481.942857142842</v>
      </c>
      <c r="G97" s="17">
        <f t="shared" ref="G97:G128" si="21">IF(C97="A",D97*50%,IF(C97="B",D97*40%,IF(C97="C",D97*30%,D97*20%)))</f>
        <v>18102.428571428551</v>
      </c>
      <c r="H97" s="18">
        <f t="shared" si="16"/>
        <v>79650.685714285617</v>
      </c>
      <c r="I97" s="18">
        <f t="shared" si="18"/>
        <v>0</v>
      </c>
      <c r="J97" s="18">
        <f t="shared" si="17"/>
        <v>79650.685714285617</v>
      </c>
      <c r="K97" s="18" t="s">
        <v>299</v>
      </c>
    </row>
    <row r="98" spans="2:11" x14ac:dyDescent="0.25">
      <c r="B98" s="15" t="s">
        <v>61</v>
      </c>
      <c r="C98" s="7" t="s">
        <v>40</v>
      </c>
      <c r="D98" s="17">
        <v>36205.857142857101</v>
      </c>
      <c r="E98" s="17">
        <f t="shared" si="19"/>
        <v>10861.75714285713</v>
      </c>
      <c r="F98" s="17">
        <f t="shared" si="20"/>
        <v>14482.342857142841</v>
      </c>
      <c r="G98" s="17">
        <f t="shared" si="21"/>
        <v>18102.928571428551</v>
      </c>
      <c r="H98" s="18">
        <f t="shared" ref="H98:H129" si="22">SUM(D98:G98)</f>
        <v>79652.885714285629</v>
      </c>
      <c r="I98" s="18">
        <f t="shared" si="18"/>
        <v>0</v>
      </c>
      <c r="J98" s="18">
        <f t="shared" ref="J98:J129" si="23">H98-I98</f>
        <v>79652.885714285629</v>
      </c>
      <c r="K98" s="18" t="s">
        <v>300</v>
      </c>
    </row>
    <row r="99" spans="2:11" x14ac:dyDescent="0.25">
      <c r="B99" s="15" t="s">
        <v>61</v>
      </c>
      <c r="C99" s="7" t="s">
        <v>40</v>
      </c>
      <c r="D99" s="17">
        <v>36206.857142857101</v>
      </c>
      <c r="E99" s="17">
        <f t="shared" si="19"/>
        <v>10862.057142857129</v>
      </c>
      <c r="F99" s="17">
        <f t="shared" si="20"/>
        <v>14482.742857142841</v>
      </c>
      <c r="G99" s="17">
        <f t="shared" si="21"/>
        <v>18103.428571428551</v>
      </c>
      <c r="H99" s="18">
        <f t="shared" si="22"/>
        <v>79655.085714285611</v>
      </c>
      <c r="I99" s="18">
        <f t="shared" si="18"/>
        <v>0</v>
      </c>
      <c r="J99" s="18">
        <f t="shared" si="23"/>
        <v>79655.085714285611</v>
      </c>
      <c r="K99" s="18" t="s">
        <v>301</v>
      </c>
    </row>
    <row r="100" spans="2:11" x14ac:dyDescent="0.25">
      <c r="B100" s="15" t="s">
        <v>61</v>
      </c>
      <c r="C100" s="7" t="s">
        <v>40</v>
      </c>
      <c r="D100" s="17">
        <v>36207.857142857101</v>
      </c>
      <c r="E100" s="17">
        <f t="shared" si="19"/>
        <v>10862.35714285713</v>
      </c>
      <c r="F100" s="17">
        <f t="shared" si="20"/>
        <v>14483.142857142841</v>
      </c>
      <c r="G100" s="17">
        <f t="shared" si="21"/>
        <v>18103.928571428551</v>
      </c>
      <c r="H100" s="18">
        <f t="shared" si="22"/>
        <v>79657.285714285623</v>
      </c>
      <c r="I100" s="18">
        <f t="shared" si="18"/>
        <v>0</v>
      </c>
      <c r="J100" s="18">
        <f t="shared" si="23"/>
        <v>79657.285714285623</v>
      </c>
      <c r="K100" s="18" t="s">
        <v>291</v>
      </c>
    </row>
    <row r="101" spans="2:11" x14ac:dyDescent="0.25">
      <c r="B101" s="15" t="s">
        <v>61</v>
      </c>
      <c r="C101" s="7" t="s">
        <v>40</v>
      </c>
      <c r="D101" s="17">
        <v>36208.857142857101</v>
      </c>
      <c r="E101" s="17">
        <f t="shared" si="19"/>
        <v>10862.65714285713</v>
      </c>
      <c r="F101" s="17">
        <f t="shared" si="20"/>
        <v>14483.542857142842</v>
      </c>
      <c r="G101" s="17">
        <f t="shared" si="21"/>
        <v>18104.428571428551</v>
      </c>
      <c r="H101" s="18">
        <f t="shared" si="22"/>
        <v>79659.485714285634</v>
      </c>
      <c r="I101" s="18">
        <f t="shared" ref="I101:I132" si="24">IF(H101&gt;=100000, H101*10%, 0)</f>
        <v>0</v>
      </c>
      <c r="J101" s="18">
        <f t="shared" si="23"/>
        <v>79659.485714285634</v>
      </c>
      <c r="K101" s="18" t="s">
        <v>292</v>
      </c>
    </row>
    <row r="102" spans="2:11" x14ac:dyDescent="0.25">
      <c r="B102" s="15" t="s">
        <v>61</v>
      </c>
      <c r="C102" s="7" t="s">
        <v>40</v>
      </c>
      <c r="D102" s="17">
        <v>36209.857142857101</v>
      </c>
      <c r="E102" s="17">
        <f t="shared" si="19"/>
        <v>10862.957142857131</v>
      </c>
      <c r="F102" s="17">
        <f t="shared" si="20"/>
        <v>14483.942857142842</v>
      </c>
      <c r="G102" s="17">
        <f t="shared" si="21"/>
        <v>18104.928571428551</v>
      </c>
      <c r="H102" s="18">
        <f t="shared" si="22"/>
        <v>79661.685714285617</v>
      </c>
      <c r="I102" s="18">
        <f t="shared" si="24"/>
        <v>0</v>
      </c>
      <c r="J102" s="18">
        <f t="shared" si="23"/>
        <v>79661.685714285617</v>
      </c>
      <c r="K102" s="18" t="s">
        <v>293</v>
      </c>
    </row>
    <row r="103" spans="2:11" x14ac:dyDescent="0.25">
      <c r="B103" s="15" t="s">
        <v>61</v>
      </c>
      <c r="C103" s="7" t="s">
        <v>40</v>
      </c>
      <c r="D103" s="17">
        <v>36210.857142857101</v>
      </c>
      <c r="E103" s="17">
        <f t="shared" si="19"/>
        <v>10863.25714285713</v>
      </c>
      <c r="F103" s="17">
        <f t="shared" si="20"/>
        <v>14484.342857142841</v>
      </c>
      <c r="G103" s="17">
        <f t="shared" si="21"/>
        <v>18105.428571428551</v>
      </c>
      <c r="H103" s="18">
        <f t="shared" si="22"/>
        <v>79663.885714285629</v>
      </c>
      <c r="I103" s="18">
        <f t="shared" si="24"/>
        <v>0</v>
      </c>
      <c r="J103" s="18">
        <f t="shared" si="23"/>
        <v>79663.885714285629</v>
      </c>
      <c r="K103" s="18" t="s">
        <v>294</v>
      </c>
    </row>
    <row r="104" spans="2:11" x14ac:dyDescent="0.25">
      <c r="B104" s="15" t="s">
        <v>61</v>
      </c>
      <c r="C104" s="7" t="s">
        <v>40</v>
      </c>
      <c r="D104" s="17">
        <v>36211.857142857101</v>
      </c>
      <c r="E104" s="17">
        <f t="shared" si="19"/>
        <v>10863.557142857129</v>
      </c>
      <c r="F104" s="17">
        <f t="shared" si="20"/>
        <v>14484.742857142841</v>
      </c>
      <c r="G104" s="17">
        <f t="shared" si="21"/>
        <v>18105.928571428551</v>
      </c>
      <c r="H104" s="18">
        <f t="shared" si="22"/>
        <v>79666.085714285611</v>
      </c>
      <c r="I104" s="18">
        <f t="shared" si="24"/>
        <v>0</v>
      </c>
      <c r="J104" s="18">
        <f t="shared" si="23"/>
        <v>79666.085714285611</v>
      </c>
      <c r="K104" s="18" t="s">
        <v>295</v>
      </c>
    </row>
    <row r="105" spans="2:11" x14ac:dyDescent="0.25">
      <c r="B105" s="15" t="s">
        <v>61</v>
      </c>
      <c r="C105" s="7" t="s">
        <v>40</v>
      </c>
      <c r="D105" s="17">
        <v>36212.857142857101</v>
      </c>
      <c r="E105" s="17">
        <f t="shared" si="19"/>
        <v>10863.85714285713</v>
      </c>
      <c r="F105" s="17">
        <f t="shared" si="20"/>
        <v>14485.142857142841</v>
      </c>
      <c r="G105" s="17">
        <f t="shared" si="21"/>
        <v>18106.428571428551</v>
      </c>
      <c r="H105" s="18">
        <f t="shared" si="22"/>
        <v>79668.285714285623</v>
      </c>
      <c r="I105" s="18">
        <f t="shared" si="24"/>
        <v>0</v>
      </c>
      <c r="J105" s="18">
        <f t="shared" si="23"/>
        <v>79668.285714285623</v>
      </c>
      <c r="K105" s="18" t="s">
        <v>296</v>
      </c>
    </row>
    <row r="106" spans="2:11" x14ac:dyDescent="0.25">
      <c r="B106" s="15" t="s">
        <v>61</v>
      </c>
      <c r="C106" s="7" t="s">
        <v>40</v>
      </c>
      <c r="D106" s="17">
        <v>36213.857142857101</v>
      </c>
      <c r="E106" s="17">
        <f t="shared" si="19"/>
        <v>10864.15714285713</v>
      </c>
      <c r="F106" s="17">
        <f t="shared" si="20"/>
        <v>14485.542857142842</v>
      </c>
      <c r="G106" s="17">
        <f t="shared" si="21"/>
        <v>18106.928571428551</v>
      </c>
      <c r="H106" s="18">
        <f t="shared" si="22"/>
        <v>79670.485714285634</v>
      </c>
      <c r="I106" s="18">
        <f t="shared" si="24"/>
        <v>0</v>
      </c>
      <c r="J106" s="18">
        <f t="shared" si="23"/>
        <v>79670.485714285634</v>
      </c>
      <c r="K106" s="18" t="s">
        <v>297</v>
      </c>
    </row>
    <row r="107" spans="2:11" x14ac:dyDescent="0.25">
      <c r="B107" s="15" t="s">
        <v>61</v>
      </c>
      <c r="C107" s="7" t="s">
        <v>40</v>
      </c>
      <c r="D107" s="17">
        <v>36214.857142857101</v>
      </c>
      <c r="E107" s="17">
        <f t="shared" si="19"/>
        <v>10864.457142857131</v>
      </c>
      <c r="F107" s="17">
        <f t="shared" si="20"/>
        <v>14485.942857142842</v>
      </c>
      <c r="G107" s="17">
        <f t="shared" si="21"/>
        <v>18107.428571428551</v>
      </c>
      <c r="H107" s="18">
        <f t="shared" si="22"/>
        <v>79672.685714285617</v>
      </c>
      <c r="I107" s="18">
        <f t="shared" si="24"/>
        <v>0</v>
      </c>
      <c r="J107" s="18">
        <f t="shared" si="23"/>
        <v>79672.685714285617</v>
      </c>
      <c r="K107" s="18" t="s">
        <v>231</v>
      </c>
    </row>
    <row r="108" spans="2:11" x14ac:dyDescent="0.25">
      <c r="B108" s="15" t="s">
        <v>61</v>
      </c>
      <c r="C108" s="7" t="s">
        <v>40</v>
      </c>
      <c r="D108" s="17">
        <v>36215.857142857101</v>
      </c>
      <c r="E108" s="17">
        <f t="shared" si="19"/>
        <v>10864.75714285713</v>
      </c>
      <c r="F108" s="17">
        <f t="shared" si="20"/>
        <v>14486.342857142841</v>
      </c>
      <c r="G108" s="17">
        <f t="shared" si="21"/>
        <v>18107.928571428551</v>
      </c>
      <c r="H108" s="18">
        <f t="shared" si="22"/>
        <v>79674.885714285629</v>
      </c>
      <c r="I108" s="18">
        <f t="shared" si="24"/>
        <v>0</v>
      </c>
      <c r="J108" s="18">
        <f t="shared" si="23"/>
        <v>79674.885714285629</v>
      </c>
      <c r="K108" s="18" t="s">
        <v>298</v>
      </c>
    </row>
    <row r="109" spans="2:11" x14ac:dyDescent="0.25">
      <c r="B109" s="15" t="s">
        <v>61</v>
      </c>
      <c r="C109" s="7" t="s">
        <v>40</v>
      </c>
      <c r="D109" s="17">
        <v>36216.857142857101</v>
      </c>
      <c r="E109" s="17">
        <f t="shared" si="19"/>
        <v>10865.057142857129</v>
      </c>
      <c r="F109" s="17">
        <f t="shared" si="20"/>
        <v>14486.742857142841</v>
      </c>
      <c r="G109" s="17">
        <f t="shared" si="21"/>
        <v>18108.428571428551</v>
      </c>
      <c r="H109" s="18">
        <f t="shared" si="22"/>
        <v>79677.085714285611</v>
      </c>
      <c r="I109" s="18">
        <f t="shared" si="24"/>
        <v>0</v>
      </c>
      <c r="J109" s="18">
        <f t="shared" si="23"/>
        <v>79677.085714285611</v>
      </c>
      <c r="K109" s="18" t="s">
        <v>299</v>
      </c>
    </row>
    <row r="110" spans="2:11" x14ac:dyDescent="0.25">
      <c r="B110" s="15" t="s">
        <v>61</v>
      </c>
      <c r="C110" s="7" t="s">
        <v>40</v>
      </c>
      <c r="D110" s="17">
        <v>36217.857142857101</v>
      </c>
      <c r="E110" s="17">
        <f t="shared" si="19"/>
        <v>10865.35714285713</v>
      </c>
      <c r="F110" s="17">
        <f t="shared" si="20"/>
        <v>14487.142857142841</v>
      </c>
      <c r="G110" s="17">
        <f t="shared" si="21"/>
        <v>18108.928571428551</v>
      </c>
      <c r="H110" s="18">
        <f t="shared" si="22"/>
        <v>79679.285714285623</v>
      </c>
      <c r="I110" s="18">
        <f t="shared" si="24"/>
        <v>0</v>
      </c>
      <c r="J110" s="18">
        <f t="shared" si="23"/>
        <v>79679.285714285623</v>
      </c>
      <c r="K110" s="18" t="s">
        <v>300</v>
      </c>
    </row>
    <row r="111" spans="2:11" x14ac:dyDescent="0.25">
      <c r="B111" s="15" t="s">
        <v>61</v>
      </c>
      <c r="C111" s="7" t="s">
        <v>40</v>
      </c>
      <c r="D111" s="17">
        <v>36218.857142857101</v>
      </c>
      <c r="E111" s="17">
        <f t="shared" si="19"/>
        <v>10865.65714285713</v>
      </c>
      <c r="F111" s="17">
        <f t="shared" si="20"/>
        <v>14487.542857142842</v>
      </c>
      <c r="G111" s="17">
        <f t="shared" si="21"/>
        <v>18109.428571428551</v>
      </c>
      <c r="H111" s="18">
        <f t="shared" si="22"/>
        <v>79681.485714285634</v>
      </c>
      <c r="I111" s="18">
        <f t="shared" si="24"/>
        <v>0</v>
      </c>
      <c r="J111" s="18">
        <f t="shared" si="23"/>
        <v>79681.485714285634</v>
      </c>
      <c r="K111" s="18" t="s">
        <v>301</v>
      </c>
    </row>
    <row r="112" spans="2:11" x14ac:dyDescent="0.25">
      <c r="B112" s="15" t="s">
        <v>61</v>
      </c>
      <c r="C112" s="7" t="s">
        <v>40</v>
      </c>
      <c r="D112" s="17">
        <v>36219.857142857101</v>
      </c>
      <c r="E112" s="17">
        <f t="shared" si="19"/>
        <v>10865.957142857131</v>
      </c>
      <c r="F112" s="17">
        <f t="shared" si="20"/>
        <v>14487.942857142842</v>
      </c>
      <c r="G112" s="17">
        <f t="shared" si="21"/>
        <v>18109.928571428551</v>
      </c>
      <c r="H112" s="18">
        <f t="shared" si="22"/>
        <v>79683.685714285617</v>
      </c>
      <c r="I112" s="18">
        <f t="shared" si="24"/>
        <v>0</v>
      </c>
      <c r="J112" s="18">
        <f t="shared" si="23"/>
        <v>79683.685714285617</v>
      </c>
      <c r="K112" s="18" t="s">
        <v>291</v>
      </c>
    </row>
    <row r="113" spans="2:11" x14ac:dyDescent="0.25">
      <c r="B113" s="15" t="s">
        <v>61</v>
      </c>
      <c r="C113" s="7" t="s">
        <v>40</v>
      </c>
      <c r="D113" s="17">
        <v>36220.857142857101</v>
      </c>
      <c r="E113" s="17">
        <f t="shared" si="19"/>
        <v>10866.25714285713</v>
      </c>
      <c r="F113" s="17">
        <f t="shared" si="20"/>
        <v>14488.342857142841</v>
      </c>
      <c r="G113" s="17">
        <f t="shared" si="21"/>
        <v>18110.428571428551</v>
      </c>
      <c r="H113" s="18">
        <f t="shared" si="22"/>
        <v>79685.885714285629</v>
      </c>
      <c r="I113" s="18">
        <f t="shared" si="24"/>
        <v>0</v>
      </c>
      <c r="J113" s="18">
        <f t="shared" si="23"/>
        <v>79685.885714285629</v>
      </c>
      <c r="K113" s="18" t="s">
        <v>292</v>
      </c>
    </row>
    <row r="114" spans="2:11" x14ac:dyDescent="0.25">
      <c r="B114" s="15" t="s">
        <v>61</v>
      </c>
      <c r="C114" s="7" t="s">
        <v>40</v>
      </c>
      <c r="D114" s="17">
        <v>36221.857142857101</v>
      </c>
      <c r="E114" s="17">
        <f t="shared" si="19"/>
        <v>10866.557142857129</v>
      </c>
      <c r="F114" s="17">
        <f t="shared" si="20"/>
        <v>14488.742857142841</v>
      </c>
      <c r="G114" s="17">
        <f t="shared" si="21"/>
        <v>18110.928571428551</v>
      </c>
      <c r="H114" s="18">
        <f t="shared" si="22"/>
        <v>79688.085714285611</v>
      </c>
      <c r="I114" s="18">
        <f t="shared" si="24"/>
        <v>0</v>
      </c>
      <c r="J114" s="18">
        <f t="shared" si="23"/>
        <v>79688.085714285611</v>
      </c>
      <c r="K114" s="18" t="s">
        <v>293</v>
      </c>
    </row>
    <row r="115" spans="2:11" x14ac:dyDescent="0.25">
      <c r="B115" s="15" t="s">
        <v>61</v>
      </c>
      <c r="C115" s="7" t="s">
        <v>40</v>
      </c>
      <c r="D115" s="17">
        <v>36222.857142857101</v>
      </c>
      <c r="E115" s="17">
        <f t="shared" si="19"/>
        <v>10866.85714285713</v>
      </c>
      <c r="F115" s="17">
        <f t="shared" si="20"/>
        <v>14489.142857142841</v>
      </c>
      <c r="G115" s="17">
        <f t="shared" si="21"/>
        <v>18111.428571428551</v>
      </c>
      <c r="H115" s="18">
        <f t="shared" si="22"/>
        <v>79690.285714285623</v>
      </c>
      <c r="I115" s="18">
        <f t="shared" si="24"/>
        <v>0</v>
      </c>
      <c r="J115" s="18">
        <f t="shared" si="23"/>
        <v>79690.285714285623</v>
      </c>
      <c r="K115" s="18" t="s">
        <v>294</v>
      </c>
    </row>
    <row r="116" spans="2:11" x14ac:dyDescent="0.25">
      <c r="B116" s="15" t="s">
        <v>61</v>
      </c>
      <c r="C116" s="7" t="s">
        <v>40</v>
      </c>
      <c r="D116" s="17">
        <v>36223.857142857101</v>
      </c>
      <c r="E116" s="17">
        <f t="shared" si="19"/>
        <v>10867.15714285713</v>
      </c>
      <c r="F116" s="17">
        <f t="shared" si="20"/>
        <v>14489.542857142842</v>
      </c>
      <c r="G116" s="17">
        <f t="shared" si="21"/>
        <v>18111.928571428551</v>
      </c>
      <c r="H116" s="18">
        <f t="shared" si="22"/>
        <v>79692.485714285634</v>
      </c>
      <c r="I116" s="18">
        <f t="shared" si="24"/>
        <v>0</v>
      </c>
      <c r="J116" s="18">
        <f t="shared" si="23"/>
        <v>79692.485714285634</v>
      </c>
      <c r="K116" s="18" t="s">
        <v>295</v>
      </c>
    </row>
    <row r="117" spans="2:11" x14ac:dyDescent="0.25">
      <c r="B117" s="15" t="s">
        <v>61</v>
      </c>
      <c r="C117" s="7" t="s">
        <v>40</v>
      </c>
      <c r="D117" s="17">
        <v>36224.857142857101</v>
      </c>
      <c r="E117" s="17">
        <f t="shared" si="19"/>
        <v>10867.457142857131</v>
      </c>
      <c r="F117" s="17">
        <f t="shared" si="20"/>
        <v>14489.942857142842</v>
      </c>
      <c r="G117" s="17">
        <f t="shared" si="21"/>
        <v>18112.428571428551</v>
      </c>
      <c r="H117" s="18">
        <f t="shared" si="22"/>
        <v>79694.685714285617</v>
      </c>
      <c r="I117" s="18">
        <f t="shared" si="24"/>
        <v>0</v>
      </c>
      <c r="J117" s="18">
        <f t="shared" si="23"/>
        <v>79694.685714285617</v>
      </c>
      <c r="K117" s="18" t="s">
        <v>296</v>
      </c>
    </row>
    <row r="118" spans="2:11" x14ac:dyDescent="0.25">
      <c r="B118" s="15" t="s">
        <v>61</v>
      </c>
      <c r="C118" s="7" t="s">
        <v>40</v>
      </c>
      <c r="D118" s="17">
        <v>36225.857142857101</v>
      </c>
      <c r="E118" s="17">
        <f t="shared" si="19"/>
        <v>10867.75714285713</v>
      </c>
      <c r="F118" s="17">
        <f t="shared" si="20"/>
        <v>14490.342857142841</v>
      </c>
      <c r="G118" s="17">
        <f t="shared" si="21"/>
        <v>18112.928571428551</v>
      </c>
      <c r="H118" s="18">
        <f t="shared" si="22"/>
        <v>79696.885714285629</v>
      </c>
      <c r="I118" s="18">
        <f t="shared" si="24"/>
        <v>0</v>
      </c>
      <c r="J118" s="18">
        <f t="shared" si="23"/>
        <v>79696.885714285629</v>
      </c>
      <c r="K118" s="18" t="s">
        <v>297</v>
      </c>
    </row>
    <row r="119" spans="2:11" x14ac:dyDescent="0.25">
      <c r="B119" s="15" t="s">
        <v>61</v>
      </c>
      <c r="C119" s="7" t="s">
        <v>40</v>
      </c>
      <c r="D119" s="17">
        <v>36226.857142857101</v>
      </c>
      <c r="E119" s="17">
        <f t="shared" si="19"/>
        <v>10868.057142857129</v>
      </c>
      <c r="F119" s="17">
        <f t="shared" si="20"/>
        <v>14490.742857142841</v>
      </c>
      <c r="G119" s="17">
        <f t="shared" si="21"/>
        <v>18113.428571428551</v>
      </c>
      <c r="H119" s="18">
        <f t="shared" si="22"/>
        <v>79699.085714285611</v>
      </c>
      <c r="I119" s="18">
        <f t="shared" si="24"/>
        <v>0</v>
      </c>
      <c r="J119" s="18">
        <f t="shared" si="23"/>
        <v>79699.085714285611</v>
      </c>
      <c r="K119" s="18" t="s">
        <v>231</v>
      </c>
    </row>
    <row r="120" spans="2:11" x14ac:dyDescent="0.25">
      <c r="B120" s="15" t="s">
        <v>61</v>
      </c>
      <c r="C120" s="7" t="s">
        <v>40</v>
      </c>
      <c r="D120" s="17">
        <v>36227.857142857101</v>
      </c>
      <c r="E120" s="17">
        <f t="shared" si="19"/>
        <v>10868.35714285713</v>
      </c>
      <c r="F120" s="17">
        <f t="shared" si="20"/>
        <v>14491.142857142841</v>
      </c>
      <c r="G120" s="17">
        <f t="shared" si="21"/>
        <v>18113.928571428551</v>
      </c>
      <c r="H120" s="18">
        <f t="shared" si="22"/>
        <v>79701.285714285623</v>
      </c>
      <c r="I120" s="18">
        <f t="shared" si="24"/>
        <v>0</v>
      </c>
      <c r="J120" s="18">
        <f t="shared" si="23"/>
        <v>79701.285714285623</v>
      </c>
      <c r="K120" s="18" t="s">
        <v>298</v>
      </c>
    </row>
    <row r="121" spans="2:11" x14ac:dyDescent="0.25">
      <c r="B121" s="15" t="s">
        <v>61</v>
      </c>
      <c r="C121" s="7" t="s">
        <v>40</v>
      </c>
      <c r="D121" s="17">
        <v>36228.857142857101</v>
      </c>
      <c r="E121" s="17">
        <f t="shared" si="19"/>
        <v>10868.65714285713</v>
      </c>
      <c r="F121" s="17">
        <f t="shared" si="20"/>
        <v>14491.542857142842</v>
      </c>
      <c r="G121" s="17">
        <f t="shared" si="21"/>
        <v>18114.428571428551</v>
      </c>
      <c r="H121" s="18">
        <f t="shared" si="22"/>
        <v>79703.485714285634</v>
      </c>
      <c r="I121" s="18">
        <f t="shared" si="24"/>
        <v>0</v>
      </c>
      <c r="J121" s="18">
        <f t="shared" si="23"/>
        <v>79703.485714285634</v>
      </c>
      <c r="K121" s="18" t="s">
        <v>299</v>
      </c>
    </row>
    <row r="122" spans="2:11" x14ac:dyDescent="0.25">
      <c r="B122" s="15" t="s">
        <v>61</v>
      </c>
      <c r="C122" s="7" t="s">
        <v>40</v>
      </c>
      <c r="D122" s="17">
        <v>36229.857142857101</v>
      </c>
      <c r="E122" s="17">
        <f t="shared" si="19"/>
        <v>10868.957142857131</v>
      </c>
      <c r="F122" s="17">
        <f t="shared" si="20"/>
        <v>14491.942857142842</v>
      </c>
      <c r="G122" s="17">
        <f t="shared" si="21"/>
        <v>18114.928571428551</v>
      </c>
      <c r="H122" s="18">
        <f t="shared" si="22"/>
        <v>79705.685714285617</v>
      </c>
      <c r="I122" s="18">
        <f t="shared" si="24"/>
        <v>0</v>
      </c>
      <c r="J122" s="18">
        <f t="shared" si="23"/>
        <v>79705.685714285617</v>
      </c>
      <c r="K122" s="18" t="s">
        <v>300</v>
      </c>
    </row>
    <row r="123" spans="2:11" x14ac:dyDescent="0.25">
      <c r="B123" s="15" t="s">
        <v>61</v>
      </c>
      <c r="C123" s="7" t="s">
        <v>40</v>
      </c>
      <c r="D123" s="17">
        <v>36230.857142857101</v>
      </c>
      <c r="E123" s="17">
        <f t="shared" si="19"/>
        <v>10869.25714285713</v>
      </c>
      <c r="F123" s="17">
        <f t="shared" si="20"/>
        <v>14492.342857142841</v>
      </c>
      <c r="G123" s="17">
        <f t="shared" si="21"/>
        <v>18115.428571428551</v>
      </c>
      <c r="H123" s="18">
        <f t="shared" si="22"/>
        <v>79707.885714285629</v>
      </c>
      <c r="I123" s="18">
        <f t="shared" si="24"/>
        <v>0</v>
      </c>
      <c r="J123" s="18">
        <f t="shared" si="23"/>
        <v>79707.885714285629</v>
      </c>
      <c r="K123" s="18" t="s">
        <v>301</v>
      </c>
    </row>
    <row r="124" spans="2:11" x14ac:dyDescent="0.25">
      <c r="B124" s="15" t="s">
        <v>61</v>
      </c>
      <c r="C124" s="7" t="s">
        <v>40</v>
      </c>
      <c r="D124" s="17">
        <v>36231.857142857101</v>
      </c>
      <c r="E124" s="17">
        <f t="shared" si="19"/>
        <v>10869.557142857129</v>
      </c>
      <c r="F124" s="17">
        <f t="shared" si="20"/>
        <v>14492.742857142841</v>
      </c>
      <c r="G124" s="17">
        <f t="shared" si="21"/>
        <v>18115.928571428551</v>
      </c>
      <c r="H124" s="18">
        <f t="shared" si="22"/>
        <v>79710.085714285611</v>
      </c>
      <c r="I124" s="18">
        <f t="shared" si="24"/>
        <v>0</v>
      </c>
      <c r="J124" s="18">
        <f t="shared" si="23"/>
        <v>79710.085714285611</v>
      </c>
      <c r="K124" s="18" t="s">
        <v>291</v>
      </c>
    </row>
    <row r="125" spans="2:11" x14ac:dyDescent="0.25">
      <c r="B125" s="15" t="s">
        <v>61</v>
      </c>
      <c r="C125" s="7" t="s">
        <v>40</v>
      </c>
      <c r="D125" s="17">
        <v>36232.857142857101</v>
      </c>
      <c r="E125" s="17">
        <f t="shared" si="19"/>
        <v>10869.85714285713</v>
      </c>
      <c r="F125" s="17">
        <f t="shared" si="20"/>
        <v>14493.142857142841</v>
      </c>
      <c r="G125" s="17">
        <f t="shared" si="21"/>
        <v>18116.428571428551</v>
      </c>
      <c r="H125" s="18">
        <f t="shared" si="22"/>
        <v>79712.285714285623</v>
      </c>
      <c r="I125" s="18">
        <f t="shared" si="24"/>
        <v>0</v>
      </c>
      <c r="J125" s="18">
        <f t="shared" si="23"/>
        <v>79712.285714285623</v>
      </c>
      <c r="K125" s="18" t="s">
        <v>292</v>
      </c>
    </row>
    <row r="126" spans="2:11" x14ac:dyDescent="0.25">
      <c r="B126" s="15" t="s">
        <v>61</v>
      </c>
      <c r="C126" s="7" t="s">
        <v>40</v>
      </c>
      <c r="D126" s="17">
        <v>36233.857142857101</v>
      </c>
      <c r="E126" s="17">
        <f t="shared" si="19"/>
        <v>10870.15714285713</v>
      </c>
      <c r="F126" s="17">
        <f t="shared" si="20"/>
        <v>14493.542857142842</v>
      </c>
      <c r="G126" s="17">
        <f t="shared" si="21"/>
        <v>18116.928571428551</v>
      </c>
      <c r="H126" s="18">
        <f t="shared" si="22"/>
        <v>79714.485714285634</v>
      </c>
      <c r="I126" s="18">
        <f t="shared" si="24"/>
        <v>0</v>
      </c>
      <c r="J126" s="18">
        <f t="shared" si="23"/>
        <v>79714.485714285634</v>
      </c>
      <c r="K126" s="18" t="s">
        <v>293</v>
      </c>
    </row>
    <row r="127" spans="2:11" x14ac:dyDescent="0.25">
      <c r="B127" s="15" t="s">
        <v>61</v>
      </c>
      <c r="C127" s="7" t="s">
        <v>40</v>
      </c>
      <c r="D127" s="17">
        <v>36234.857142857101</v>
      </c>
      <c r="E127" s="17">
        <f t="shared" si="19"/>
        <v>10870.457142857131</v>
      </c>
      <c r="F127" s="17">
        <f t="shared" si="20"/>
        <v>14493.942857142842</v>
      </c>
      <c r="G127" s="17">
        <f t="shared" si="21"/>
        <v>18117.428571428551</v>
      </c>
      <c r="H127" s="18">
        <f t="shared" si="22"/>
        <v>79716.685714285617</v>
      </c>
      <c r="I127" s="18">
        <f t="shared" si="24"/>
        <v>0</v>
      </c>
      <c r="J127" s="18">
        <f t="shared" si="23"/>
        <v>79716.685714285617</v>
      </c>
      <c r="K127" s="18" t="s">
        <v>294</v>
      </c>
    </row>
    <row r="128" spans="2:11" x14ac:dyDescent="0.25">
      <c r="B128" s="15" t="s">
        <v>61</v>
      </c>
      <c r="C128" s="7" t="s">
        <v>40</v>
      </c>
      <c r="D128" s="17">
        <v>36235.857142857101</v>
      </c>
      <c r="E128" s="17">
        <f t="shared" si="19"/>
        <v>10870.75714285713</v>
      </c>
      <c r="F128" s="17">
        <f t="shared" si="20"/>
        <v>14494.342857142841</v>
      </c>
      <c r="G128" s="17">
        <f t="shared" si="21"/>
        <v>18117.928571428551</v>
      </c>
      <c r="H128" s="18">
        <f t="shared" si="22"/>
        <v>79718.885714285629</v>
      </c>
      <c r="I128" s="18">
        <f t="shared" si="24"/>
        <v>0</v>
      </c>
      <c r="J128" s="18">
        <f t="shared" si="23"/>
        <v>79718.885714285629</v>
      </c>
      <c r="K128" s="18" t="s">
        <v>295</v>
      </c>
    </row>
    <row r="129" spans="2:11" x14ac:dyDescent="0.25">
      <c r="B129" s="15" t="s">
        <v>61</v>
      </c>
      <c r="C129" s="7" t="s">
        <v>40</v>
      </c>
      <c r="D129" s="17">
        <v>36236.857142857101</v>
      </c>
      <c r="E129" s="17">
        <f t="shared" ref="E129:E142" si="25">IF(C129="A", D129*30%, IF(C129="B", D129*25%, IF(C129="C", D129*20%, D129*15%)))</f>
        <v>10871.057142857129</v>
      </c>
      <c r="F129" s="17">
        <f t="shared" ref="F129:F142" si="26">IF(C129="A", D129*40%, IF(C129="B", D129*35%, IF(C129="C", D129*30%, D129*20%)))</f>
        <v>14494.742857142841</v>
      </c>
      <c r="G129" s="17">
        <f t="shared" ref="G129:G142" si="27">IF(C129="A",D129*50%,IF(C129="B",D129*40%,IF(C129="C",D129*30%,D129*20%)))</f>
        <v>18118.428571428551</v>
      </c>
      <c r="H129" s="18">
        <f t="shared" si="22"/>
        <v>79721.085714285611</v>
      </c>
      <c r="I129" s="18">
        <f t="shared" si="24"/>
        <v>0</v>
      </c>
      <c r="J129" s="18">
        <f t="shared" si="23"/>
        <v>79721.085714285611</v>
      </c>
      <c r="K129" s="18" t="s">
        <v>296</v>
      </c>
    </row>
    <row r="130" spans="2:11" x14ac:dyDescent="0.25">
      <c r="B130" s="15" t="s">
        <v>61</v>
      </c>
      <c r="C130" s="7" t="s">
        <v>40</v>
      </c>
      <c r="D130" s="17">
        <v>36237.857142857101</v>
      </c>
      <c r="E130" s="17">
        <f t="shared" si="25"/>
        <v>10871.35714285713</v>
      </c>
      <c r="F130" s="17">
        <f t="shared" si="26"/>
        <v>14495.142857142841</v>
      </c>
      <c r="G130" s="17">
        <f t="shared" si="27"/>
        <v>18118.928571428551</v>
      </c>
      <c r="H130" s="18">
        <f t="shared" ref="H130:H142" si="28">SUM(D130:G130)</f>
        <v>79723.285714285623</v>
      </c>
      <c r="I130" s="18">
        <f t="shared" si="24"/>
        <v>0</v>
      </c>
      <c r="J130" s="18">
        <f t="shared" ref="J130:J142" si="29">H130-I130</f>
        <v>79723.285714285623</v>
      </c>
      <c r="K130" s="18" t="s">
        <v>297</v>
      </c>
    </row>
    <row r="131" spans="2:11" x14ac:dyDescent="0.25">
      <c r="B131" s="15" t="s">
        <v>61</v>
      </c>
      <c r="C131" s="7" t="s">
        <v>40</v>
      </c>
      <c r="D131" s="17">
        <v>36238.857142857101</v>
      </c>
      <c r="E131" s="17">
        <f t="shared" si="25"/>
        <v>10871.65714285713</v>
      </c>
      <c r="F131" s="17">
        <f t="shared" si="26"/>
        <v>14495.542857142842</v>
      </c>
      <c r="G131" s="17">
        <f t="shared" si="27"/>
        <v>18119.428571428551</v>
      </c>
      <c r="H131" s="18">
        <f t="shared" si="28"/>
        <v>79725.485714285634</v>
      </c>
      <c r="I131" s="18">
        <f t="shared" si="24"/>
        <v>0</v>
      </c>
      <c r="J131" s="18">
        <f t="shared" si="29"/>
        <v>79725.485714285634</v>
      </c>
      <c r="K131" s="18" t="s">
        <v>231</v>
      </c>
    </row>
    <row r="132" spans="2:11" x14ac:dyDescent="0.25">
      <c r="B132" s="15" t="s">
        <v>61</v>
      </c>
      <c r="C132" s="7" t="s">
        <v>40</v>
      </c>
      <c r="D132" s="17">
        <v>36239.857142857101</v>
      </c>
      <c r="E132" s="17">
        <f t="shared" si="25"/>
        <v>10871.957142857131</v>
      </c>
      <c r="F132" s="17">
        <f t="shared" si="26"/>
        <v>14495.942857142842</v>
      </c>
      <c r="G132" s="17">
        <f t="shared" si="27"/>
        <v>18119.928571428551</v>
      </c>
      <c r="H132" s="18">
        <f t="shared" si="28"/>
        <v>79727.685714285617</v>
      </c>
      <c r="I132" s="18">
        <f t="shared" si="24"/>
        <v>0</v>
      </c>
      <c r="J132" s="18">
        <f t="shared" si="29"/>
        <v>79727.685714285617</v>
      </c>
      <c r="K132" s="18" t="s">
        <v>298</v>
      </c>
    </row>
    <row r="133" spans="2:11" x14ac:dyDescent="0.25">
      <c r="B133" s="15" t="s">
        <v>61</v>
      </c>
      <c r="C133" s="7" t="s">
        <v>40</v>
      </c>
      <c r="D133" s="17">
        <v>36240.857142857101</v>
      </c>
      <c r="E133" s="17">
        <f t="shared" si="25"/>
        <v>10872.25714285713</v>
      </c>
      <c r="F133" s="17">
        <f t="shared" si="26"/>
        <v>14496.342857142841</v>
      </c>
      <c r="G133" s="17">
        <f t="shared" si="27"/>
        <v>18120.428571428551</v>
      </c>
      <c r="H133" s="18">
        <f t="shared" si="28"/>
        <v>79729.885714285629</v>
      </c>
      <c r="I133" s="18">
        <f t="shared" ref="I133:I142" si="30">IF(H133&gt;=100000, H133*10%, 0)</f>
        <v>0</v>
      </c>
      <c r="J133" s="18">
        <f t="shared" si="29"/>
        <v>79729.885714285629</v>
      </c>
      <c r="K133" s="18" t="s">
        <v>299</v>
      </c>
    </row>
    <row r="134" spans="2:11" x14ac:dyDescent="0.25">
      <c r="B134" s="15" t="s">
        <v>61</v>
      </c>
      <c r="C134" s="7" t="s">
        <v>40</v>
      </c>
      <c r="D134" s="17">
        <v>36241.857142857101</v>
      </c>
      <c r="E134" s="17">
        <f t="shared" si="25"/>
        <v>10872.557142857129</v>
      </c>
      <c r="F134" s="17">
        <f t="shared" si="26"/>
        <v>14496.742857142841</v>
      </c>
      <c r="G134" s="17">
        <f t="shared" si="27"/>
        <v>18120.928571428551</v>
      </c>
      <c r="H134" s="18">
        <f t="shared" si="28"/>
        <v>79732.085714285611</v>
      </c>
      <c r="I134" s="18">
        <f t="shared" si="30"/>
        <v>0</v>
      </c>
      <c r="J134" s="18">
        <f t="shared" si="29"/>
        <v>79732.085714285611</v>
      </c>
      <c r="K134" s="18" t="s">
        <v>300</v>
      </c>
    </row>
    <row r="135" spans="2:11" x14ac:dyDescent="0.25">
      <c r="B135" s="15" t="s">
        <v>61</v>
      </c>
      <c r="C135" s="7" t="s">
        <v>40</v>
      </c>
      <c r="D135" s="17">
        <v>36242.857142857101</v>
      </c>
      <c r="E135" s="17">
        <f t="shared" si="25"/>
        <v>10872.85714285713</v>
      </c>
      <c r="F135" s="17">
        <f t="shared" si="26"/>
        <v>14497.142857142841</v>
      </c>
      <c r="G135" s="17">
        <f t="shared" si="27"/>
        <v>18121.428571428551</v>
      </c>
      <c r="H135" s="18">
        <f t="shared" si="28"/>
        <v>79734.285714285623</v>
      </c>
      <c r="I135" s="18">
        <f t="shared" si="30"/>
        <v>0</v>
      </c>
      <c r="J135" s="18">
        <f t="shared" si="29"/>
        <v>79734.285714285623</v>
      </c>
      <c r="K135" s="18" t="s">
        <v>301</v>
      </c>
    </row>
    <row r="136" spans="2:11" x14ac:dyDescent="0.25">
      <c r="B136" s="15" t="s">
        <v>61</v>
      </c>
      <c r="C136" s="7" t="s">
        <v>40</v>
      </c>
      <c r="D136" s="17">
        <v>36243.857142857101</v>
      </c>
      <c r="E136" s="17">
        <f t="shared" si="25"/>
        <v>10873.15714285713</v>
      </c>
      <c r="F136" s="17">
        <f t="shared" si="26"/>
        <v>14497.542857142842</v>
      </c>
      <c r="G136" s="17">
        <f t="shared" si="27"/>
        <v>18121.928571428551</v>
      </c>
      <c r="H136" s="18">
        <f t="shared" si="28"/>
        <v>79736.485714285634</v>
      </c>
      <c r="I136" s="18">
        <f t="shared" si="30"/>
        <v>0</v>
      </c>
      <c r="J136" s="18">
        <f t="shared" si="29"/>
        <v>79736.485714285634</v>
      </c>
      <c r="K136" s="18" t="s">
        <v>291</v>
      </c>
    </row>
    <row r="137" spans="2:11" x14ac:dyDescent="0.25">
      <c r="B137" s="15" t="s">
        <v>61</v>
      </c>
      <c r="C137" s="7" t="s">
        <v>40</v>
      </c>
      <c r="D137" s="17">
        <v>36244.857142857101</v>
      </c>
      <c r="E137" s="17">
        <f t="shared" si="25"/>
        <v>10873.457142857131</v>
      </c>
      <c r="F137" s="17">
        <f t="shared" si="26"/>
        <v>14497.942857142842</v>
      </c>
      <c r="G137" s="17">
        <f t="shared" si="27"/>
        <v>18122.428571428551</v>
      </c>
      <c r="H137" s="18">
        <f t="shared" si="28"/>
        <v>79738.685714285617</v>
      </c>
      <c r="I137" s="18">
        <f t="shared" si="30"/>
        <v>0</v>
      </c>
      <c r="J137" s="18">
        <f t="shared" si="29"/>
        <v>79738.685714285617</v>
      </c>
      <c r="K137" s="18" t="s">
        <v>292</v>
      </c>
    </row>
    <row r="138" spans="2:11" x14ac:dyDescent="0.25">
      <c r="B138" s="15" t="s">
        <v>61</v>
      </c>
      <c r="C138" s="7" t="s">
        <v>40</v>
      </c>
      <c r="D138" s="17">
        <v>36245.857142857101</v>
      </c>
      <c r="E138" s="17">
        <f t="shared" si="25"/>
        <v>10873.75714285713</v>
      </c>
      <c r="F138" s="17">
        <f t="shared" si="26"/>
        <v>14498.342857142841</v>
      </c>
      <c r="G138" s="17">
        <f t="shared" si="27"/>
        <v>18122.928571428551</v>
      </c>
      <c r="H138" s="18">
        <f t="shared" si="28"/>
        <v>79740.885714285629</v>
      </c>
      <c r="I138" s="18">
        <f t="shared" si="30"/>
        <v>0</v>
      </c>
      <c r="J138" s="18">
        <f t="shared" si="29"/>
        <v>79740.885714285629</v>
      </c>
      <c r="K138" s="18" t="s">
        <v>293</v>
      </c>
    </row>
    <row r="139" spans="2:11" x14ac:dyDescent="0.25">
      <c r="B139" s="15" t="s">
        <v>61</v>
      </c>
      <c r="C139" s="7" t="s">
        <v>40</v>
      </c>
      <c r="D139" s="17">
        <v>36246.857142857101</v>
      </c>
      <c r="E139" s="17">
        <f t="shared" si="25"/>
        <v>10874.057142857129</v>
      </c>
      <c r="F139" s="17">
        <f t="shared" si="26"/>
        <v>14498.742857142841</v>
      </c>
      <c r="G139" s="17">
        <f t="shared" si="27"/>
        <v>18123.428571428551</v>
      </c>
      <c r="H139" s="18">
        <f t="shared" si="28"/>
        <v>79743.085714285611</v>
      </c>
      <c r="I139" s="18">
        <f t="shared" si="30"/>
        <v>0</v>
      </c>
      <c r="J139" s="18">
        <f t="shared" si="29"/>
        <v>79743.085714285611</v>
      </c>
      <c r="K139" s="18" t="s">
        <v>294</v>
      </c>
    </row>
    <row r="140" spans="2:11" x14ac:dyDescent="0.25">
      <c r="B140" s="15" t="s">
        <v>61</v>
      </c>
      <c r="C140" s="7" t="s">
        <v>40</v>
      </c>
      <c r="D140" s="17">
        <v>36247.857142857101</v>
      </c>
      <c r="E140" s="17">
        <f t="shared" si="25"/>
        <v>10874.35714285713</v>
      </c>
      <c r="F140" s="17">
        <f t="shared" si="26"/>
        <v>14499.142857142841</v>
      </c>
      <c r="G140" s="17">
        <f t="shared" si="27"/>
        <v>18123.928571428551</v>
      </c>
      <c r="H140" s="18">
        <f t="shared" si="28"/>
        <v>79745.285714285623</v>
      </c>
      <c r="I140" s="18">
        <f t="shared" si="30"/>
        <v>0</v>
      </c>
      <c r="J140" s="18">
        <f t="shared" si="29"/>
        <v>79745.285714285623</v>
      </c>
      <c r="K140" s="18" t="s">
        <v>295</v>
      </c>
    </row>
    <row r="141" spans="2:11" x14ac:dyDescent="0.25">
      <c r="B141" s="15" t="s">
        <v>61</v>
      </c>
      <c r="C141" s="7" t="s">
        <v>40</v>
      </c>
      <c r="D141" s="17">
        <v>36248.857142857101</v>
      </c>
      <c r="E141" s="17">
        <f t="shared" si="25"/>
        <v>10874.65714285713</v>
      </c>
      <c r="F141" s="17">
        <f t="shared" si="26"/>
        <v>14499.542857142842</v>
      </c>
      <c r="G141" s="17">
        <f t="shared" si="27"/>
        <v>18124.428571428551</v>
      </c>
      <c r="H141" s="18">
        <f t="shared" si="28"/>
        <v>79747.485714285634</v>
      </c>
      <c r="I141" s="18">
        <f t="shared" si="30"/>
        <v>0</v>
      </c>
      <c r="J141" s="18">
        <f t="shared" si="29"/>
        <v>79747.485714285634</v>
      </c>
      <c r="K141" s="18" t="s">
        <v>296</v>
      </c>
    </row>
    <row r="142" spans="2:11" x14ac:dyDescent="0.25">
      <c r="B142" s="15" t="s">
        <v>61</v>
      </c>
      <c r="C142" s="7" t="s">
        <v>40</v>
      </c>
      <c r="D142" s="17">
        <v>36249.857142857101</v>
      </c>
      <c r="E142" s="17">
        <f t="shared" si="25"/>
        <v>10874.957142857131</v>
      </c>
      <c r="F142" s="17">
        <f t="shared" si="26"/>
        <v>14499.942857142842</v>
      </c>
      <c r="G142" s="17">
        <f t="shared" si="27"/>
        <v>18124.928571428551</v>
      </c>
      <c r="H142" s="18">
        <f t="shared" si="28"/>
        <v>79749.685714285617</v>
      </c>
      <c r="I142" s="18">
        <f t="shared" si="30"/>
        <v>0</v>
      </c>
      <c r="J142" s="18">
        <f t="shared" si="29"/>
        <v>79749.685714285617</v>
      </c>
      <c r="K142" s="18" t="s">
        <v>297</v>
      </c>
    </row>
  </sheetData>
  <autoFilter ref="A1:K142" xr:uid="{00000000-0001-0000-0700-000000000000}"/>
  <customSheetViews>
    <customSheetView guid="{D6BA57A5-118E-4B58-A351-7E1C36DA5B56}" topLeftCell="B1">
      <selection activeCell="E2" sqref="E2"/>
      <pageMargins left="0.7" right="0.7" top="0.75" bottom="0.75" header="0.3" footer="0.3"/>
    </customSheetView>
    <customSheetView guid="{05B8E57A-BB97-41F0-B6FB-606E79293C77}" topLeftCell="B1">
      <selection activeCell="E2" sqref="E2"/>
      <pageMargins left="0.7" right="0.7" top="0.75" bottom="0.75" header="0.3" footer="0.3"/>
    </customSheetView>
    <customSheetView guid="{3C013989-8552-4FE1-BB7E-C88994E2D13D}" topLeftCell="B1">
      <selection activeCell="E2" sqref="E2"/>
      <pageMargins left="0.7" right="0.7" top="0.75" bottom="0.75" header="0.3" footer="0.3"/>
    </customSheetView>
    <customSheetView guid="{75B547B5-834C-4784-8C45-4C35B93C736F}" topLeftCell="B1">
      <selection activeCell="E2" sqref="E2"/>
      <pageMargins left="0.7" right="0.7" top="0.75" bottom="0.75" header="0.3" footer="0.3"/>
    </customSheetView>
  </customSheetViews>
  <conditionalFormatting sqref="A1:K142">
    <cfRule type="expression" dxfId="25" priority="1">
      <formula>$K1048576="Oct"</formula>
    </cfRule>
    <cfRule type="expression" dxfId="24" priority="2">
      <formula>$B2="Hamid"</formula>
    </cfRule>
  </conditionalFormatting>
  <pageMargins left="0.22" right="0.08" top="0.75" bottom="0.75" header="0.3" footer="0.3"/>
  <pageSetup paperSize="9"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J14"/>
  <sheetViews>
    <sheetView zoomScale="130" zoomScaleNormal="130" workbookViewId="0">
      <selection activeCell="C2" sqref="C2:C9"/>
    </sheetView>
  </sheetViews>
  <sheetFormatPr defaultRowHeight="15" x14ac:dyDescent="0.25"/>
  <cols>
    <col min="1" max="1" width="6.42578125" customWidth="1"/>
    <col min="2" max="2" width="13.140625" customWidth="1"/>
    <col min="3" max="3" width="13.85546875" customWidth="1"/>
    <col min="4" max="4" width="14.85546875" customWidth="1"/>
    <col min="5" max="5" width="57.85546875" customWidth="1"/>
    <col min="6" max="6" width="13.7109375" customWidth="1"/>
    <col min="7" max="7" width="16.5703125" customWidth="1"/>
    <col min="8" max="8" width="15.28515625" customWidth="1"/>
    <col min="9" max="9" width="13.7109375" customWidth="1"/>
    <col min="10" max="10" width="16.28515625" customWidth="1"/>
  </cols>
  <sheetData>
    <row r="1" spans="1:10" ht="30" x14ac:dyDescent="0.25">
      <c r="A1" s="120" t="s">
        <v>50</v>
      </c>
      <c r="B1" s="120" t="s">
        <v>0</v>
      </c>
      <c r="C1" s="120" t="s">
        <v>51</v>
      </c>
      <c r="D1" s="121" t="s">
        <v>52</v>
      </c>
      <c r="E1" s="121" t="s">
        <v>53</v>
      </c>
      <c r="F1" s="121" t="s">
        <v>54</v>
      </c>
      <c r="G1" s="121" t="s">
        <v>55</v>
      </c>
      <c r="H1" s="121" t="s">
        <v>56</v>
      </c>
      <c r="I1" s="121" t="s">
        <v>57</v>
      </c>
      <c r="J1" s="121" t="s">
        <v>58</v>
      </c>
    </row>
    <row r="2" spans="1:10" ht="26.25" x14ac:dyDescent="0.25">
      <c r="A2" s="16">
        <v>101</v>
      </c>
      <c r="B2" s="15" t="s">
        <v>11</v>
      </c>
      <c r="C2" s="7" t="s">
        <v>69</v>
      </c>
      <c r="D2" s="17">
        <v>75000</v>
      </c>
      <c r="E2" s="185">
        <f>IF(C2="Manager",D2*25%,IF(C2="Ass. Manager",D2*21%,IF(C2="Officeboy",D2*12%,IF(C2="MD",D2*30%,D2*15%))))</f>
        <v>18750</v>
      </c>
      <c r="F2" s="17">
        <f>IF(C2="Manager",D2*20%,IF(C2="Ass. Manager",D2*18%,IF(C2="Officeboy",D2*7%,IF(C2="MD",D2*25%,D2*11%))))</f>
        <v>15000</v>
      </c>
      <c r="G2" s="17">
        <f>IF(C2="Manager",D2*26%,IF(C2="Ass. Manager",D2*22%,IF(C2="Officeboy",D2*12%,IF(C2="MD",D2*33%,D2*13%))))</f>
        <v>19500</v>
      </c>
      <c r="H2" s="18">
        <f>SUM(D2:G2)</f>
        <v>128250</v>
      </c>
      <c r="I2" s="18">
        <f>IF(H2&gt;=100000, H2*10%, 0)</f>
        <v>12825</v>
      </c>
      <c r="J2" s="18">
        <f>H2-I2</f>
        <v>115425</v>
      </c>
    </row>
    <row r="3" spans="1:10" x14ac:dyDescent="0.25">
      <c r="A3" s="16">
        <v>102</v>
      </c>
      <c r="B3" s="15" t="s">
        <v>12</v>
      </c>
      <c r="C3" s="7" t="s">
        <v>70</v>
      </c>
      <c r="D3" s="17">
        <v>60000</v>
      </c>
      <c r="E3" s="17">
        <f t="shared" ref="E3:E8" si="0">IF(C3="Manager",D3*25%,IF(C3="Ass. Manager",D3*21%,IF(C3="Officeboy",D3*12%,IF(C3="MD",D3*30%,D3*15%))))</f>
        <v>12600</v>
      </c>
      <c r="F3" s="17">
        <f t="shared" ref="F3:F8" si="1">IF(C3="Manager",D3*20%,IF(C3="Ass. Manager",D3*18%,IF(C3="Officeboy",D3*7%,IF(C3="MD",D3*25%,D3*11%))))</f>
        <v>10800</v>
      </c>
      <c r="G3" s="17">
        <f t="shared" ref="G3:G8" si="2">IF(C3="Manager",D3*26%,IF(C3="Ass. Manager",D3*22%,IF(C3="Officeboy",D3*12%,IF(C3="MD",D3*33%,D3*13%))))</f>
        <v>13200</v>
      </c>
      <c r="H3" s="18">
        <f t="shared" ref="H3:H14" si="3">SUM(D3:G3)</f>
        <v>96600</v>
      </c>
      <c r="I3" s="18">
        <f t="shared" ref="I3:I14" si="4">IF(H3&gt;=100000, H3*10%, 0)</f>
        <v>0</v>
      </c>
      <c r="J3" s="18">
        <f t="shared" ref="J3:J14" si="5">H3-I3</f>
        <v>96600</v>
      </c>
    </row>
    <row r="4" spans="1:10" x14ac:dyDescent="0.25">
      <c r="A4" s="16">
        <v>103</v>
      </c>
      <c r="B4" s="15" t="s">
        <v>59</v>
      </c>
      <c r="C4" s="7" t="s">
        <v>71</v>
      </c>
      <c r="D4" s="17">
        <v>11000</v>
      </c>
      <c r="E4" s="17">
        <f t="shared" si="0"/>
        <v>1320</v>
      </c>
      <c r="F4" s="17">
        <f t="shared" si="1"/>
        <v>770.00000000000011</v>
      </c>
      <c r="G4" s="17">
        <f t="shared" si="2"/>
        <v>1320</v>
      </c>
      <c r="H4" s="18">
        <f t="shared" si="3"/>
        <v>14410</v>
      </c>
      <c r="I4" s="18">
        <f t="shared" si="4"/>
        <v>0</v>
      </c>
      <c r="J4" s="18">
        <f t="shared" si="5"/>
        <v>14410</v>
      </c>
    </row>
    <row r="5" spans="1:10" x14ac:dyDescent="0.25">
      <c r="A5" s="16">
        <v>104</v>
      </c>
      <c r="B5" s="15" t="s">
        <v>60</v>
      </c>
      <c r="C5" s="7" t="s">
        <v>72</v>
      </c>
      <c r="D5" s="17">
        <v>18000</v>
      </c>
      <c r="E5" s="17">
        <f t="shared" si="0"/>
        <v>2700</v>
      </c>
      <c r="F5" s="17">
        <f t="shared" si="1"/>
        <v>1980</v>
      </c>
      <c r="G5" s="17">
        <f t="shared" si="2"/>
        <v>2340</v>
      </c>
      <c r="H5" s="18">
        <f t="shared" si="3"/>
        <v>25020</v>
      </c>
      <c r="I5" s="18">
        <f t="shared" si="4"/>
        <v>0</v>
      </c>
      <c r="J5" s="18">
        <f t="shared" si="5"/>
        <v>25020</v>
      </c>
    </row>
    <row r="6" spans="1:10" x14ac:dyDescent="0.25">
      <c r="A6" s="16">
        <v>105</v>
      </c>
      <c r="B6" s="15" t="s">
        <v>61</v>
      </c>
      <c r="C6" s="7" t="s">
        <v>75</v>
      </c>
      <c r="D6" s="17">
        <v>12000</v>
      </c>
      <c r="E6" s="17">
        <f t="shared" si="0"/>
        <v>1800</v>
      </c>
      <c r="F6" s="17">
        <f t="shared" si="1"/>
        <v>1320</v>
      </c>
      <c r="G6" s="17">
        <f t="shared" si="2"/>
        <v>1560</v>
      </c>
      <c r="H6" s="18">
        <f t="shared" si="3"/>
        <v>16680</v>
      </c>
      <c r="I6" s="18">
        <f t="shared" si="4"/>
        <v>0</v>
      </c>
      <c r="J6" s="18">
        <f t="shared" si="5"/>
        <v>16680</v>
      </c>
    </row>
    <row r="7" spans="1:10" x14ac:dyDescent="0.25">
      <c r="A7" s="16">
        <v>106</v>
      </c>
      <c r="B7" s="15" t="s">
        <v>62</v>
      </c>
      <c r="C7" s="7" t="s">
        <v>73</v>
      </c>
      <c r="D7" s="17">
        <v>120000</v>
      </c>
      <c r="E7" s="17">
        <f t="shared" si="0"/>
        <v>36000</v>
      </c>
      <c r="F7" s="17">
        <f t="shared" si="1"/>
        <v>30000</v>
      </c>
      <c r="G7" s="17">
        <f t="shared" si="2"/>
        <v>39600</v>
      </c>
      <c r="H7" s="18">
        <f t="shared" si="3"/>
        <v>225600</v>
      </c>
      <c r="I7" s="18">
        <f t="shared" si="4"/>
        <v>22560</v>
      </c>
      <c r="J7" s="18">
        <f t="shared" si="5"/>
        <v>203040</v>
      </c>
    </row>
    <row r="8" spans="1:10" x14ac:dyDescent="0.25">
      <c r="A8" s="16">
        <v>107</v>
      </c>
      <c r="B8" s="15" t="s">
        <v>63</v>
      </c>
      <c r="C8" s="7" t="s">
        <v>74</v>
      </c>
      <c r="D8" s="17">
        <v>30000</v>
      </c>
      <c r="E8" s="17">
        <f t="shared" si="0"/>
        <v>4500</v>
      </c>
      <c r="F8" s="17">
        <f t="shared" si="1"/>
        <v>3300</v>
      </c>
      <c r="G8" s="17">
        <f t="shared" si="2"/>
        <v>3900</v>
      </c>
      <c r="H8" s="18">
        <f t="shared" si="3"/>
        <v>41700</v>
      </c>
      <c r="I8" s="18">
        <f t="shared" si="4"/>
        <v>0</v>
      </c>
      <c r="J8" s="18">
        <f t="shared" si="5"/>
        <v>41700</v>
      </c>
    </row>
    <row r="9" spans="1:10" x14ac:dyDescent="0.25">
      <c r="A9" s="16">
        <v>108</v>
      </c>
      <c r="B9" s="15" t="s">
        <v>64</v>
      </c>
      <c r="C9" s="7"/>
      <c r="D9" s="17"/>
      <c r="E9" s="17"/>
      <c r="F9" s="17"/>
      <c r="G9" s="17"/>
      <c r="H9" s="18">
        <f t="shared" si="3"/>
        <v>0</v>
      </c>
      <c r="I9" s="18">
        <f t="shared" si="4"/>
        <v>0</v>
      </c>
      <c r="J9" s="18">
        <f t="shared" si="5"/>
        <v>0</v>
      </c>
    </row>
    <row r="10" spans="1:10" x14ac:dyDescent="0.25">
      <c r="A10" s="16">
        <v>109</v>
      </c>
      <c r="B10" s="15" t="s">
        <v>65</v>
      </c>
      <c r="C10" s="7"/>
      <c r="D10" s="17"/>
      <c r="E10" s="17"/>
      <c r="F10" s="17"/>
      <c r="G10" s="17"/>
      <c r="H10" s="18">
        <f t="shared" si="3"/>
        <v>0</v>
      </c>
      <c r="I10" s="18">
        <f t="shared" si="4"/>
        <v>0</v>
      </c>
      <c r="J10" s="18">
        <f t="shared" si="5"/>
        <v>0</v>
      </c>
    </row>
    <row r="11" spans="1:10" x14ac:dyDescent="0.25">
      <c r="A11" s="16">
        <v>110</v>
      </c>
      <c r="B11" s="15" t="s">
        <v>22</v>
      </c>
      <c r="C11" s="7"/>
      <c r="D11" s="17"/>
      <c r="E11" s="17"/>
      <c r="F11" s="17"/>
      <c r="G11" s="17"/>
      <c r="H11" s="18">
        <f t="shared" si="3"/>
        <v>0</v>
      </c>
      <c r="I11" s="18">
        <f t="shared" si="4"/>
        <v>0</v>
      </c>
      <c r="J11" s="18">
        <f t="shared" si="5"/>
        <v>0</v>
      </c>
    </row>
    <row r="12" spans="1:10" x14ac:dyDescent="0.25">
      <c r="A12" s="16">
        <v>111</v>
      </c>
      <c r="B12" s="15" t="s">
        <v>66</v>
      </c>
      <c r="C12" s="7"/>
      <c r="D12" s="17"/>
      <c r="E12" s="17"/>
      <c r="F12" s="17"/>
      <c r="G12" s="17"/>
      <c r="H12" s="18">
        <f t="shared" si="3"/>
        <v>0</v>
      </c>
      <c r="I12" s="18">
        <f t="shared" si="4"/>
        <v>0</v>
      </c>
      <c r="J12" s="18">
        <f t="shared" si="5"/>
        <v>0</v>
      </c>
    </row>
    <row r="13" spans="1:10" x14ac:dyDescent="0.25">
      <c r="A13" s="16">
        <v>112</v>
      </c>
      <c r="B13" s="15" t="s">
        <v>67</v>
      </c>
      <c r="C13" s="7"/>
      <c r="D13" s="17"/>
      <c r="E13" s="17"/>
      <c r="F13" s="17"/>
      <c r="G13" s="17"/>
      <c r="H13" s="18">
        <f t="shared" si="3"/>
        <v>0</v>
      </c>
      <c r="I13" s="18">
        <f t="shared" si="4"/>
        <v>0</v>
      </c>
      <c r="J13" s="18">
        <f t="shared" si="5"/>
        <v>0</v>
      </c>
    </row>
    <row r="14" spans="1:10" x14ac:dyDescent="0.25">
      <c r="A14" s="16">
        <v>113</v>
      </c>
      <c r="B14" s="15" t="s">
        <v>68</v>
      </c>
      <c r="C14" s="7"/>
      <c r="D14" s="17"/>
      <c r="E14" s="17"/>
      <c r="F14" s="17"/>
      <c r="G14" s="17"/>
      <c r="H14" s="18">
        <f t="shared" si="3"/>
        <v>0</v>
      </c>
      <c r="I14" s="18">
        <f t="shared" si="4"/>
        <v>0</v>
      </c>
      <c r="J14" s="18">
        <f t="shared" si="5"/>
        <v>0</v>
      </c>
    </row>
  </sheetData>
  <customSheetViews>
    <customSheetView guid="{D6BA57A5-118E-4B58-A351-7E1C36DA5B56}" topLeftCell="B1">
      <selection activeCell="I26" sqref="I26"/>
      <pageMargins left="0.7" right="0.7" top="0.75" bottom="0.75" header="0.3" footer="0.3"/>
    </customSheetView>
    <customSheetView guid="{05B8E57A-BB97-41F0-B6FB-606E79293C77}">
      <pageMargins left="0.7" right="0.7" top="0.75" bottom="0.75" header="0.3" footer="0.3"/>
    </customSheetView>
    <customSheetView guid="{3C013989-8552-4FE1-BB7E-C88994E2D13D}" topLeftCell="B1">
      <selection activeCell="I26" sqref="I26"/>
      <pageMargins left="0.7" right="0.7" top="0.75" bottom="0.75" header="0.3" footer="0.3"/>
    </customSheetView>
    <customSheetView guid="{75B547B5-834C-4784-8C45-4C35B93C736F}" topLeftCell="B1">
      <selection activeCell="I26" sqref="I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S19"/>
  <sheetViews>
    <sheetView zoomScale="115" zoomScaleNormal="115" workbookViewId="0">
      <selection activeCell="E3" sqref="E3"/>
    </sheetView>
  </sheetViews>
  <sheetFormatPr defaultRowHeight="15" x14ac:dyDescent="0.25"/>
  <cols>
    <col min="1" max="1" width="6.42578125" customWidth="1"/>
    <col min="2" max="2" width="24.85546875" customWidth="1"/>
    <col min="3" max="3" width="11.28515625" customWidth="1"/>
    <col min="4" max="4" width="12.28515625" customWidth="1"/>
    <col min="5" max="5" width="9.140625" customWidth="1"/>
    <col min="6" max="6" width="16.140625" customWidth="1"/>
    <col min="7" max="7" width="9.5703125" customWidth="1"/>
    <col min="8" max="8" width="14.42578125" customWidth="1"/>
    <col min="9" max="9" width="1.5703125" customWidth="1"/>
    <col min="10" max="10" width="3.5703125" bestFit="1" customWidth="1"/>
    <col min="11" max="11" width="6.85546875" customWidth="1"/>
    <col min="12" max="12" width="8" customWidth="1"/>
    <col min="13" max="13" width="11.42578125" customWidth="1"/>
    <col min="14" max="14" width="15.42578125" bestFit="1" customWidth="1"/>
    <col min="15" max="15" width="12.7109375" bestFit="1" customWidth="1"/>
    <col min="16" max="16" width="12.28515625" bestFit="1" customWidth="1"/>
    <col min="17" max="17" width="16.140625" bestFit="1" customWidth="1"/>
    <col min="18" max="18" width="8.28515625" bestFit="1" customWidth="1"/>
    <col min="19" max="19" width="11.140625" bestFit="1" customWidth="1"/>
  </cols>
  <sheetData>
    <row r="1" spans="1:19" x14ac:dyDescent="0.25">
      <c r="A1" s="252" t="s">
        <v>82</v>
      </c>
      <c r="B1" s="252"/>
      <c r="C1" s="252"/>
      <c r="D1" s="252"/>
      <c r="E1" s="252"/>
      <c r="F1" s="252"/>
      <c r="G1" s="252"/>
      <c r="H1" s="252"/>
      <c r="J1" s="253"/>
      <c r="K1" s="254"/>
      <c r="L1" s="254"/>
      <c r="M1" s="254"/>
      <c r="N1" s="254"/>
      <c r="O1" s="254"/>
      <c r="P1" s="254"/>
      <c r="Q1" s="254"/>
      <c r="R1" s="254"/>
      <c r="S1" s="255"/>
    </row>
    <row r="2" spans="1:19" x14ac:dyDescent="0.25">
      <c r="A2" s="19" t="s">
        <v>76</v>
      </c>
      <c r="B2" s="19" t="s">
        <v>0</v>
      </c>
      <c r="C2" s="19" t="s">
        <v>77</v>
      </c>
      <c r="D2" s="19" t="s">
        <v>78</v>
      </c>
      <c r="E2" s="19" t="s">
        <v>79</v>
      </c>
      <c r="F2" s="19" t="s">
        <v>80</v>
      </c>
      <c r="G2" s="19" t="s">
        <v>79</v>
      </c>
      <c r="H2" s="19" t="s">
        <v>81</v>
      </c>
      <c r="J2" s="186" t="s">
        <v>375</v>
      </c>
      <c r="K2" s="186" t="s">
        <v>123</v>
      </c>
      <c r="L2" s="187" t="s">
        <v>0</v>
      </c>
      <c r="M2" s="186" t="s">
        <v>77</v>
      </c>
      <c r="N2" s="186" t="s">
        <v>532</v>
      </c>
      <c r="O2" s="186" t="s">
        <v>530</v>
      </c>
      <c r="P2" s="186" t="s">
        <v>79</v>
      </c>
      <c r="Q2" s="186" t="s">
        <v>80</v>
      </c>
      <c r="R2" s="186" t="s">
        <v>79</v>
      </c>
      <c r="S2" s="186" t="s">
        <v>81</v>
      </c>
    </row>
    <row r="3" spans="1:19" ht="28.5" x14ac:dyDescent="0.25">
      <c r="A3" s="7">
        <v>1001</v>
      </c>
      <c r="B3" s="15" t="s">
        <v>211</v>
      </c>
      <c r="C3" s="7">
        <v>22</v>
      </c>
      <c r="D3" s="7">
        <f>C3*8</f>
        <v>176</v>
      </c>
      <c r="E3" s="20">
        <f>D3*60</f>
        <v>10560</v>
      </c>
      <c r="F3" s="7">
        <v>10</v>
      </c>
      <c r="G3" s="20">
        <f>F3*80</f>
        <v>800</v>
      </c>
      <c r="H3" s="21">
        <f>E3+G3</f>
        <v>11360</v>
      </c>
      <c r="J3" s="7">
        <v>1</v>
      </c>
      <c r="K3" s="7" t="s">
        <v>40</v>
      </c>
      <c r="L3" s="139" t="s">
        <v>384</v>
      </c>
      <c r="M3" s="7">
        <v>26</v>
      </c>
      <c r="N3" s="7">
        <v>8</v>
      </c>
      <c r="O3" s="7">
        <f>M3*N3</f>
        <v>208</v>
      </c>
      <c r="P3" s="189">
        <f>IF(K3="A",O3*300,IF(K3="B",O3*250,IF(K3="C",O3*200,O3*180)))</f>
        <v>62400</v>
      </c>
      <c r="Q3" s="7">
        <v>20</v>
      </c>
      <c r="R3" s="7">
        <f>IF(K3="A",Q3*300,IF(K3="B",Q3*250,IF(K3="C",Q3*200,Q3*180)))</f>
        <v>6000</v>
      </c>
      <c r="S3" s="188">
        <f>P3+R3</f>
        <v>68400</v>
      </c>
    </row>
    <row r="4" spans="1:19" ht="28.5" x14ac:dyDescent="0.25">
      <c r="A4" s="7">
        <v>1002</v>
      </c>
      <c r="B4" s="15" t="s">
        <v>212</v>
      </c>
      <c r="C4" s="7">
        <v>27</v>
      </c>
      <c r="D4" s="7">
        <f t="shared" ref="D4:D17" si="0">C4*8</f>
        <v>216</v>
      </c>
      <c r="E4" s="20">
        <f t="shared" ref="E4:E17" si="1">D4*60</f>
        <v>12960</v>
      </c>
      <c r="F4" s="7">
        <v>35</v>
      </c>
      <c r="G4" s="20">
        <f t="shared" ref="G4:G17" si="2">F4*80</f>
        <v>2800</v>
      </c>
      <c r="H4" s="21">
        <f t="shared" ref="H4:H17" si="3">E4+G4</f>
        <v>15760</v>
      </c>
      <c r="J4" s="7">
        <v>2</v>
      </c>
      <c r="K4" s="7" t="s">
        <v>41</v>
      </c>
      <c r="L4" s="139" t="s">
        <v>385</v>
      </c>
      <c r="M4" s="7">
        <v>22</v>
      </c>
      <c r="N4" s="7">
        <v>6</v>
      </c>
      <c r="O4" s="7">
        <f t="shared" ref="O4:O7" si="4">M4*N4</f>
        <v>132</v>
      </c>
      <c r="P4" s="189">
        <f>IF(K4="A",O4*300,IF(K4="B",O4*250,IF(K4="C",O4*200,O4*180)))</f>
        <v>33000</v>
      </c>
      <c r="Q4" s="7">
        <v>7</v>
      </c>
      <c r="R4" s="7">
        <f>IF(K4="A",Q4*300,IF(K4="B",Q4*250,IF(K4="C",Q4*200,Q4*180)))</f>
        <v>1750</v>
      </c>
      <c r="S4" s="188">
        <f t="shared" ref="S4:S7" si="5">P4+R4</f>
        <v>34750</v>
      </c>
    </row>
    <row r="5" spans="1:19" ht="28.5" x14ac:dyDescent="0.25">
      <c r="A5" s="7">
        <v>1003</v>
      </c>
      <c r="B5" s="15" t="s">
        <v>213</v>
      </c>
      <c r="C5" s="7">
        <v>31</v>
      </c>
      <c r="D5" s="7">
        <f t="shared" si="0"/>
        <v>248</v>
      </c>
      <c r="E5" s="20">
        <f t="shared" si="1"/>
        <v>14880</v>
      </c>
      <c r="F5" s="7">
        <v>60</v>
      </c>
      <c r="G5" s="20">
        <f t="shared" si="2"/>
        <v>4800</v>
      </c>
      <c r="H5" s="21">
        <f t="shared" si="3"/>
        <v>19680</v>
      </c>
      <c r="J5" s="7">
        <v>3</v>
      </c>
      <c r="K5" s="7" t="s">
        <v>40</v>
      </c>
      <c r="L5" s="139" t="s">
        <v>386</v>
      </c>
      <c r="M5" s="7">
        <v>25</v>
      </c>
      <c r="N5" s="7">
        <v>7</v>
      </c>
      <c r="O5" s="7">
        <f t="shared" si="4"/>
        <v>175</v>
      </c>
      <c r="P5" s="189">
        <f>IF(K5="A",O5*300,IF(K5="B",O5*250,IF(K5="C",O5*200,O5*180)))</f>
        <v>52500</v>
      </c>
      <c r="Q5" s="7">
        <v>8</v>
      </c>
      <c r="R5" s="7">
        <f>IF(K5="A",Q5*300,IF(K5="B",Q5*250,IF(K5="C",Q5*200,Q5*180)))</f>
        <v>2400</v>
      </c>
      <c r="S5" s="188">
        <f t="shared" si="5"/>
        <v>54900</v>
      </c>
    </row>
    <row r="6" spans="1:19" ht="28.5" x14ac:dyDescent="0.25">
      <c r="A6" s="7"/>
      <c r="B6" s="15"/>
      <c r="C6" s="7"/>
      <c r="D6" s="7">
        <f t="shared" si="0"/>
        <v>0</v>
      </c>
      <c r="E6" s="20">
        <f t="shared" si="1"/>
        <v>0</v>
      </c>
      <c r="F6" s="7"/>
      <c r="G6" s="20">
        <f t="shared" si="2"/>
        <v>0</v>
      </c>
      <c r="H6" s="21">
        <f t="shared" si="3"/>
        <v>0</v>
      </c>
      <c r="J6" s="7">
        <v>4</v>
      </c>
      <c r="K6" s="7" t="s">
        <v>42</v>
      </c>
      <c r="L6" s="139" t="s">
        <v>387</v>
      </c>
      <c r="M6" s="7">
        <v>20</v>
      </c>
      <c r="N6" s="7">
        <v>5</v>
      </c>
      <c r="O6" s="7">
        <f t="shared" si="4"/>
        <v>100</v>
      </c>
      <c r="P6" s="189">
        <f>IF(K6="A",O6*300,IF(K6="B",O6*250,IF(K6="C",O6*200,O6*180)))</f>
        <v>20000</v>
      </c>
      <c r="Q6" s="7">
        <v>15</v>
      </c>
      <c r="R6" s="7">
        <f>IF(K6="A",Q6*300,IF(K6="B",Q6*250,IF(K6="C",Q6*200,Q6*180)))</f>
        <v>3000</v>
      </c>
      <c r="S6" s="188">
        <f t="shared" si="5"/>
        <v>23000</v>
      </c>
    </row>
    <row r="7" spans="1:19" ht="28.5" x14ac:dyDescent="0.25">
      <c r="A7" s="7"/>
      <c r="B7" s="15"/>
      <c r="C7" s="7"/>
      <c r="D7" s="7">
        <f t="shared" si="0"/>
        <v>0</v>
      </c>
      <c r="E7" s="20">
        <f t="shared" si="1"/>
        <v>0</v>
      </c>
      <c r="F7" s="7"/>
      <c r="G7" s="20">
        <f t="shared" si="2"/>
        <v>0</v>
      </c>
      <c r="H7" s="21">
        <f t="shared" si="3"/>
        <v>0</v>
      </c>
      <c r="J7" s="7"/>
      <c r="K7" s="7" t="s">
        <v>43</v>
      </c>
      <c r="L7" s="139" t="s">
        <v>531</v>
      </c>
      <c r="M7" s="7">
        <v>15</v>
      </c>
      <c r="N7" s="7">
        <v>8</v>
      </c>
      <c r="O7" s="7">
        <f t="shared" si="4"/>
        <v>120</v>
      </c>
      <c r="P7" s="189">
        <f>IF(K7="A",O7*300,IF(K7="B",O7*250,IF(K7="C",O7*200,O7*180)))</f>
        <v>21600</v>
      </c>
      <c r="Q7" s="7">
        <v>3</v>
      </c>
      <c r="R7" s="7">
        <f>IF(K7="A",Q7*300,IF(K7="B",Q7*250,IF(K7="C",Q7*200,Q7*180)))</f>
        <v>540</v>
      </c>
      <c r="S7" s="188">
        <f t="shared" si="5"/>
        <v>22140</v>
      </c>
    </row>
    <row r="8" spans="1:19" x14ac:dyDescent="0.25">
      <c r="A8" s="7"/>
      <c r="B8" s="15"/>
      <c r="C8" s="7"/>
      <c r="D8" s="7">
        <f t="shared" si="0"/>
        <v>0</v>
      </c>
      <c r="E8" s="20">
        <f t="shared" si="1"/>
        <v>0</v>
      </c>
      <c r="F8" s="7"/>
      <c r="G8" s="20">
        <f t="shared" si="2"/>
        <v>0</v>
      </c>
      <c r="H8" s="21">
        <f t="shared" si="3"/>
        <v>0</v>
      </c>
      <c r="J8" s="7"/>
      <c r="K8" s="7"/>
      <c r="L8" s="139"/>
      <c r="M8" s="7"/>
      <c r="N8" s="7"/>
      <c r="O8" s="7"/>
      <c r="P8" s="7"/>
      <c r="Q8" s="7"/>
      <c r="R8" s="7"/>
      <c r="S8" s="7"/>
    </row>
    <row r="9" spans="1:19" x14ac:dyDescent="0.25">
      <c r="A9" s="7"/>
      <c r="B9" s="15"/>
      <c r="C9" s="7"/>
      <c r="D9" s="7">
        <f t="shared" si="0"/>
        <v>0</v>
      </c>
      <c r="E9" s="20">
        <f t="shared" si="1"/>
        <v>0</v>
      </c>
      <c r="F9" s="7"/>
      <c r="G9" s="20">
        <f t="shared" si="2"/>
        <v>0</v>
      </c>
      <c r="H9" s="21">
        <f t="shared" si="3"/>
        <v>0</v>
      </c>
      <c r="J9" s="7"/>
      <c r="K9" s="7"/>
      <c r="L9" s="139"/>
      <c r="M9" s="7"/>
      <c r="N9" s="7"/>
      <c r="O9" s="7"/>
      <c r="P9" s="7"/>
      <c r="Q9" s="7"/>
      <c r="R9" s="7"/>
      <c r="S9" s="7"/>
    </row>
    <row r="10" spans="1:19" x14ac:dyDescent="0.25">
      <c r="A10" s="7"/>
      <c r="B10" s="15"/>
      <c r="C10" s="7"/>
      <c r="D10" s="7">
        <f t="shared" si="0"/>
        <v>0</v>
      </c>
      <c r="E10" s="20">
        <f t="shared" si="1"/>
        <v>0</v>
      </c>
      <c r="F10" s="7"/>
      <c r="G10" s="20">
        <f t="shared" si="2"/>
        <v>0</v>
      </c>
      <c r="H10" s="21">
        <f t="shared" si="3"/>
        <v>0</v>
      </c>
      <c r="J10" s="7"/>
      <c r="K10" s="7"/>
      <c r="L10" s="139"/>
      <c r="M10" s="7"/>
      <c r="N10" s="7"/>
      <c r="O10" s="7"/>
      <c r="P10" s="7"/>
      <c r="Q10" s="7"/>
      <c r="R10" s="7"/>
      <c r="S10" s="7"/>
    </row>
    <row r="11" spans="1:19" x14ac:dyDescent="0.25">
      <c r="A11" s="7"/>
      <c r="B11" s="15"/>
      <c r="C11" s="7"/>
      <c r="D11" s="7">
        <f t="shared" si="0"/>
        <v>0</v>
      </c>
      <c r="E11" s="20">
        <f t="shared" si="1"/>
        <v>0</v>
      </c>
      <c r="F11" s="7"/>
      <c r="G11" s="20">
        <f t="shared" si="2"/>
        <v>0</v>
      </c>
      <c r="H11" s="21">
        <f t="shared" si="3"/>
        <v>0</v>
      </c>
      <c r="J11" s="7"/>
      <c r="K11" s="7"/>
      <c r="L11" s="139"/>
      <c r="M11" s="7"/>
      <c r="N11" s="7"/>
      <c r="O11" s="7"/>
      <c r="P11" s="7"/>
      <c r="Q11" s="7"/>
      <c r="R11" s="7"/>
      <c r="S11" s="7"/>
    </row>
    <row r="12" spans="1:19" x14ac:dyDescent="0.25">
      <c r="A12" s="7"/>
      <c r="B12" s="15"/>
      <c r="C12" s="7"/>
      <c r="D12" s="7">
        <f t="shared" si="0"/>
        <v>0</v>
      </c>
      <c r="E12" s="20">
        <f t="shared" si="1"/>
        <v>0</v>
      </c>
      <c r="F12" s="7"/>
      <c r="G12" s="20">
        <f t="shared" si="2"/>
        <v>0</v>
      </c>
      <c r="H12" s="21">
        <f t="shared" si="3"/>
        <v>0</v>
      </c>
      <c r="J12" s="7"/>
      <c r="K12" s="7"/>
      <c r="L12" s="139"/>
      <c r="M12" s="7"/>
      <c r="N12" s="7"/>
      <c r="O12" s="7"/>
      <c r="P12" s="7"/>
      <c r="Q12" s="7"/>
      <c r="R12" s="7"/>
      <c r="S12" s="7"/>
    </row>
    <row r="13" spans="1:19" x14ac:dyDescent="0.25">
      <c r="A13" s="7"/>
      <c r="B13" s="15"/>
      <c r="C13" s="7"/>
      <c r="D13" s="7">
        <f t="shared" si="0"/>
        <v>0</v>
      </c>
      <c r="E13" s="20">
        <f t="shared" si="1"/>
        <v>0</v>
      </c>
      <c r="F13" s="7"/>
      <c r="G13" s="20">
        <f t="shared" si="2"/>
        <v>0</v>
      </c>
      <c r="H13" s="21">
        <f t="shared" si="3"/>
        <v>0</v>
      </c>
      <c r="J13" s="7"/>
      <c r="K13" s="7"/>
      <c r="L13" s="139"/>
      <c r="M13" s="7"/>
      <c r="N13" s="7"/>
      <c r="O13" s="7"/>
      <c r="P13" s="7"/>
      <c r="Q13" s="7"/>
      <c r="R13" s="7"/>
      <c r="S13" s="7"/>
    </row>
    <row r="14" spans="1:19" x14ac:dyDescent="0.25">
      <c r="A14" s="7"/>
      <c r="B14" s="15"/>
      <c r="C14" s="7"/>
      <c r="D14" s="7">
        <f t="shared" si="0"/>
        <v>0</v>
      </c>
      <c r="E14" s="20">
        <f t="shared" si="1"/>
        <v>0</v>
      </c>
      <c r="F14" s="7"/>
      <c r="G14" s="20">
        <f t="shared" si="2"/>
        <v>0</v>
      </c>
      <c r="H14" s="21">
        <f t="shared" si="3"/>
        <v>0</v>
      </c>
      <c r="J14" s="7"/>
      <c r="K14" s="7"/>
      <c r="L14" s="139"/>
      <c r="M14" s="7"/>
      <c r="N14" s="7"/>
      <c r="O14" s="7"/>
      <c r="P14" s="7"/>
      <c r="Q14" s="7"/>
      <c r="R14" s="7"/>
      <c r="S14" s="7"/>
    </row>
    <row r="15" spans="1:19" x14ac:dyDescent="0.25">
      <c r="A15" s="7"/>
      <c r="B15" s="15"/>
      <c r="C15" s="7"/>
      <c r="D15" s="7">
        <f t="shared" si="0"/>
        <v>0</v>
      </c>
      <c r="E15" s="20">
        <f t="shared" si="1"/>
        <v>0</v>
      </c>
      <c r="F15" s="7"/>
      <c r="G15" s="20">
        <f t="shared" si="2"/>
        <v>0</v>
      </c>
      <c r="H15" s="21">
        <f t="shared" si="3"/>
        <v>0</v>
      </c>
      <c r="J15" s="7"/>
      <c r="K15" s="7"/>
      <c r="L15" s="139"/>
      <c r="M15" s="7"/>
      <c r="N15" s="7"/>
      <c r="O15" s="7"/>
      <c r="P15" s="7"/>
      <c r="Q15" s="7"/>
      <c r="R15" s="7"/>
      <c r="S15" s="7"/>
    </row>
    <row r="16" spans="1:19" x14ac:dyDescent="0.25">
      <c r="A16" s="7"/>
      <c r="B16" s="15"/>
      <c r="C16" s="7"/>
      <c r="D16" s="7">
        <f t="shared" si="0"/>
        <v>0</v>
      </c>
      <c r="E16" s="20">
        <f t="shared" si="1"/>
        <v>0</v>
      </c>
      <c r="F16" s="7"/>
      <c r="G16" s="20">
        <f t="shared" si="2"/>
        <v>0</v>
      </c>
      <c r="H16" s="21">
        <f t="shared" si="3"/>
        <v>0</v>
      </c>
      <c r="J16" s="7"/>
      <c r="K16" s="7"/>
      <c r="L16" s="139"/>
      <c r="M16" s="7"/>
      <c r="N16" s="7"/>
      <c r="O16" s="7"/>
      <c r="P16" s="7"/>
      <c r="Q16" s="7"/>
      <c r="R16" s="7"/>
      <c r="S16" s="7"/>
    </row>
    <row r="17" spans="1:19" x14ac:dyDescent="0.25">
      <c r="A17" s="7"/>
      <c r="B17" s="15"/>
      <c r="C17" s="7"/>
      <c r="D17" s="7">
        <f t="shared" si="0"/>
        <v>0</v>
      </c>
      <c r="E17" s="20">
        <f t="shared" si="1"/>
        <v>0</v>
      </c>
      <c r="F17" s="7"/>
      <c r="G17" s="20">
        <f t="shared" si="2"/>
        <v>0</v>
      </c>
      <c r="H17" s="21">
        <f t="shared" si="3"/>
        <v>0</v>
      </c>
      <c r="J17" s="7"/>
      <c r="K17" s="7"/>
      <c r="L17" s="139"/>
      <c r="M17" s="7"/>
      <c r="N17" s="7"/>
      <c r="O17" s="7"/>
      <c r="P17" s="7"/>
      <c r="Q17" s="7"/>
      <c r="R17" s="7"/>
      <c r="S17" s="7"/>
    </row>
    <row r="19" spans="1:19" ht="26.25" x14ac:dyDescent="0.4">
      <c r="M19" s="169" t="s">
        <v>533</v>
      </c>
    </row>
  </sheetData>
  <customSheetViews>
    <customSheetView guid="{D6BA57A5-118E-4B58-A351-7E1C36DA5B56}">
      <selection activeCell="C23" sqref="C23"/>
      <pageMargins left="0.7" right="0.7" top="0.75" bottom="0.75" header="0.3" footer="0.3"/>
    </customSheetView>
    <customSheetView guid="{05B8E57A-BB97-41F0-B6FB-606E79293C77}">
      <selection activeCell="C23" sqref="C23"/>
      <pageMargins left="0.7" right="0.7" top="0.75" bottom="0.75" header="0.3" footer="0.3"/>
    </customSheetView>
    <customSheetView guid="{3C013989-8552-4FE1-BB7E-C88994E2D13D}">
      <selection activeCell="C23" sqref="C23"/>
      <pageMargins left="0.7" right="0.7" top="0.75" bottom="0.75" header="0.3" footer="0.3"/>
    </customSheetView>
    <customSheetView guid="{75B547B5-834C-4784-8C45-4C35B93C736F}">
      <selection activeCell="C23" sqref="C23"/>
      <pageMargins left="0.7" right="0.7" top="0.75" bottom="0.75" header="0.3" footer="0.3"/>
    </customSheetView>
  </customSheetViews>
  <mergeCells count="2">
    <mergeCell ref="A1:H1"/>
    <mergeCell ref="J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I17"/>
  <sheetViews>
    <sheetView workbookViewId="0">
      <selection activeCell="O19" sqref="O19"/>
    </sheetView>
  </sheetViews>
  <sheetFormatPr defaultRowHeight="15" x14ac:dyDescent="0.25"/>
  <cols>
    <col min="2" max="2" width="6.42578125" customWidth="1"/>
    <col min="3" max="3" width="24.85546875" customWidth="1"/>
    <col min="4" max="4" width="11.28515625" customWidth="1"/>
    <col min="5" max="5" width="12.28515625" customWidth="1"/>
    <col min="6" max="6" width="9.140625" customWidth="1"/>
    <col min="7" max="7" width="16.140625" customWidth="1"/>
    <col min="8" max="8" width="9.5703125" customWidth="1"/>
    <col min="9" max="9" width="14.42578125" customWidth="1"/>
  </cols>
  <sheetData>
    <row r="1" spans="1:9" x14ac:dyDescent="0.25">
      <c r="A1" s="256" t="s">
        <v>82</v>
      </c>
      <c r="B1" s="256"/>
      <c r="C1" s="256"/>
      <c r="D1" s="256"/>
      <c r="E1" s="256"/>
      <c r="F1" s="256"/>
      <c r="G1" s="256"/>
      <c r="H1" s="256"/>
      <c r="I1" s="257"/>
    </row>
    <row r="2" spans="1:9" x14ac:dyDescent="0.25">
      <c r="A2" s="19" t="s">
        <v>76</v>
      </c>
      <c r="B2" s="19" t="s">
        <v>123</v>
      </c>
      <c r="C2" s="19" t="s">
        <v>0</v>
      </c>
      <c r="D2" s="19" t="s">
        <v>77</v>
      </c>
      <c r="E2" s="19" t="s">
        <v>78</v>
      </c>
      <c r="F2" s="19" t="s">
        <v>79</v>
      </c>
      <c r="G2" s="19" t="s">
        <v>80</v>
      </c>
      <c r="H2" s="19" t="s">
        <v>79</v>
      </c>
      <c r="I2" s="19" t="s">
        <v>81</v>
      </c>
    </row>
    <row r="3" spans="1:9" x14ac:dyDescent="0.25">
      <c r="A3" s="7">
        <v>101</v>
      </c>
      <c r="B3" s="7" t="s">
        <v>40</v>
      </c>
      <c r="C3" s="15" t="s">
        <v>11</v>
      </c>
      <c r="D3" s="7">
        <v>26</v>
      </c>
      <c r="E3" s="7">
        <f>D3*8</f>
        <v>208</v>
      </c>
      <c r="F3" s="20">
        <f>IF(B3="A",E3*150,IF(B3="B",E3*100,E3*90))</f>
        <v>31200</v>
      </c>
      <c r="G3" s="7">
        <v>40</v>
      </c>
      <c r="H3" s="20">
        <f>IF(B3="a", G3*145, IF(B3="b", G3*130, G3*120))</f>
        <v>5800</v>
      </c>
      <c r="I3" s="21">
        <f>F3+H3</f>
        <v>37000</v>
      </c>
    </row>
    <row r="4" spans="1:9" x14ac:dyDescent="0.25">
      <c r="A4" s="7">
        <v>102</v>
      </c>
      <c r="B4" s="7" t="s">
        <v>41</v>
      </c>
      <c r="C4" s="15" t="s">
        <v>12</v>
      </c>
      <c r="D4" s="7">
        <v>26</v>
      </c>
      <c r="E4" s="7">
        <f t="shared" ref="E4:E17" si="0">D4*8</f>
        <v>208</v>
      </c>
      <c r="F4" s="20">
        <f t="shared" ref="F4:F17" si="1">IF(B4="A", E4*150, IF(B4="B", E4*100, E4*90))</f>
        <v>20800</v>
      </c>
      <c r="G4" s="7">
        <v>40</v>
      </c>
      <c r="H4" s="20">
        <f>IF(B4="a", G4*145, IF(B4="b", G4*130, G4*120))</f>
        <v>5200</v>
      </c>
      <c r="I4" s="21">
        <f t="shared" ref="I4:I17" si="2">F4+H4</f>
        <v>26000</v>
      </c>
    </row>
    <row r="5" spans="1:9" x14ac:dyDescent="0.25">
      <c r="A5" s="7">
        <v>103</v>
      </c>
      <c r="B5" s="7" t="s">
        <v>42</v>
      </c>
      <c r="C5" s="15" t="s">
        <v>59</v>
      </c>
      <c r="D5" s="7">
        <v>26</v>
      </c>
      <c r="E5" s="7">
        <f t="shared" si="0"/>
        <v>208</v>
      </c>
      <c r="F5" s="20">
        <f t="shared" si="1"/>
        <v>18720</v>
      </c>
      <c r="G5" s="7"/>
      <c r="H5" s="20">
        <f t="shared" ref="H5:H17" si="3">IF(B5="a", G5*145, IF(B5="b", G5*130, G5*120))</f>
        <v>0</v>
      </c>
      <c r="I5" s="21">
        <f t="shared" si="2"/>
        <v>18720</v>
      </c>
    </row>
    <row r="6" spans="1:9" x14ac:dyDescent="0.25">
      <c r="A6" s="7">
        <v>104</v>
      </c>
      <c r="B6" s="7" t="s">
        <v>43</v>
      </c>
      <c r="C6" s="15" t="s">
        <v>60</v>
      </c>
      <c r="D6" s="7">
        <v>26</v>
      </c>
      <c r="E6" s="7">
        <f t="shared" si="0"/>
        <v>208</v>
      </c>
      <c r="F6" s="20">
        <f t="shared" si="1"/>
        <v>18720</v>
      </c>
      <c r="G6" s="7"/>
      <c r="H6" s="20">
        <f t="shared" si="3"/>
        <v>0</v>
      </c>
      <c r="I6" s="21">
        <f t="shared" si="2"/>
        <v>18720</v>
      </c>
    </row>
    <row r="7" spans="1:9" x14ac:dyDescent="0.25">
      <c r="A7" s="7">
        <v>105</v>
      </c>
      <c r="B7" s="7" t="s">
        <v>44</v>
      </c>
      <c r="C7" s="15" t="s">
        <v>61</v>
      </c>
      <c r="D7" s="7"/>
      <c r="E7" s="7">
        <f t="shared" si="0"/>
        <v>0</v>
      </c>
      <c r="F7" s="20">
        <f t="shared" si="1"/>
        <v>0</v>
      </c>
      <c r="G7" s="7"/>
      <c r="H7" s="20">
        <f t="shared" si="3"/>
        <v>0</v>
      </c>
      <c r="I7" s="21">
        <f t="shared" si="2"/>
        <v>0</v>
      </c>
    </row>
    <row r="8" spans="1:9" x14ac:dyDescent="0.25">
      <c r="A8" s="7">
        <v>106</v>
      </c>
      <c r="B8" s="7" t="s">
        <v>40</v>
      </c>
      <c r="C8" s="15" t="s">
        <v>62</v>
      </c>
      <c r="D8" s="7"/>
      <c r="E8" s="7">
        <f t="shared" si="0"/>
        <v>0</v>
      </c>
      <c r="F8" s="20">
        <f t="shared" si="1"/>
        <v>0</v>
      </c>
      <c r="G8" s="7"/>
      <c r="H8" s="20">
        <f t="shared" si="3"/>
        <v>0</v>
      </c>
      <c r="I8" s="21">
        <f t="shared" si="2"/>
        <v>0</v>
      </c>
    </row>
    <row r="9" spans="1:9" x14ac:dyDescent="0.25">
      <c r="A9" s="7">
        <v>107</v>
      </c>
      <c r="B9" s="7" t="s">
        <v>42</v>
      </c>
      <c r="C9" s="15" t="s">
        <v>63</v>
      </c>
      <c r="D9" s="7"/>
      <c r="E9" s="7">
        <f t="shared" si="0"/>
        <v>0</v>
      </c>
      <c r="F9" s="20">
        <f t="shared" si="1"/>
        <v>0</v>
      </c>
      <c r="G9" s="7"/>
      <c r="H9" s="20">
        <f t="shared" si="3"/>
        <v>0</v>
      </c>
      <c r="I9" s="21">
        <f t="shared" si="2"/>
        <v>0</v>
      </c>
    </row>
    <row r="10" spans="1:9" x14ac:dyDescent="0.25">
      <c r="A10" s="7">
        <v>108</v>
      </c>
      <c r="B10" s="7" t="s">
        <v>44</v>
      </c>
      <c r="C10" s="15" t="s">
        <v>64</v>
      </c>
      <c r="D10" s="7"/>
      <c r="E10" s="7">
        <f t="shared" si="0"/>
        <v>0</v>
      </c>
      <c r="F10" s="20">
        <f t="shared" si="1"/>
        <v>0</v>
      </c>
      <c r="G10" s="7"/>
      <c r="H10" s="20">
        <f t="shared" si="3"/>
        <v>0</v>
      </c>
      <c r="I10" s="21">
        <f t="shared" si="2"/>
        <v>0</v>
      </c>
    </row>
    <row r="11" spans="1:9" x14ac:dyDescent="0.25">
      <c r="A11" s="7">
        <v>109</v>
      </c>
      <c r="B11" s="7" t="s">
        <v>40</v>
      </c>
      <c r="C11" s="15" t="s">
        <v>65</v>
      </c>
      <c r="D11" s="7"/>
      <c r="E11" s="7">
        <f t="shared" si="0"/>
        <v>0</v>
      </c>
      <c r="F11" s="20">
        <f t="shared" si="1"/>
        <v>0</v>
      </c>
      <c r="G11" s="7"/>
      <c r="H11" s="20">
        <f t="shared" si="3"/>
        <v>0</v>
      </c>
      <c r="I11" s="21">
        <f t="shared" si="2"/>
        <v>0</v>
      </c>
    </row>
    <row r="12" spans="1:9" x14ac:dyDescent="0.25">
      <c r="A12" s="7">
        <v>110</v>
      </c>
      <c r="B12" s="7" t="s">
        <v>41</v>
      </c>
      <c r="C12" s="15" t="s">
        <v>22</v>
      </c>
      <c r="D12" s="7"/>
      <c r="E12" s="7">
        <f t="shared" si="0"/>
        <v>0</v>
      </c>
      <c r="F12" s="20">
        <f t="shared" si="1"/>
        <v>0</v>
      </c>
      <c r="G12" s="7"/>
      <c r="H12" s="20">
        <f t="shared" si="3"/>
        <v>0</v>
      </c>
      <c r="I12" s="21">
        <f t="shared" si="2"/>
        <v>0</v>
      </c>
    </row>
    <row r="13" spans="1:9" x14ac:dyDescent="0.25">
      <c r="A13" s="7">
        <v>111</v>
      </c>
      <c r="B13" s="7" t="s">
        <v>42</v>
      </c>
      <c r="C13" s="15" t="s">
        <v>66</v>
      </c>
      <c r="D13" s="7"/>
      <c r="E13" s="7">
        <f t="shared" si="0"/>
        <v>0</v>
      </c>
      <c r="F13" s="20">
        <f t="shared" si="1"/>
        <v>0</v>
      </c>
      <c r="G13" s="7"/>
      <c r="H13" s="20">
        <f t="shared" si="3"/>
        <v>0</v>
      </c>
      <c r="I13" s="21">
        <f t="shared" si="2"/>
        <v>0</v>
      </c>
    </row>
    <row r="14" spans="1:9" x14ac:dyDescent="0.25">
      <c r="A14" s="7">
        <v>112</v>
      </c>
      <c r="B14" s="7" t="s">
        <v>43</v>
      </c>
      <c r="C14" s="15" t="s">
        <v>67</v>
      </c>
      <c r="D14" s="7"/>
      <c r="E14" s="7">
        <f t="shared" si="0"/>
        <v>0</v>
      </c>
      <c r="F14" s="20">
        <f t="shared" si="1"/>
        <v>0</v>
      </c>
      <c r="G14" s="7"/>
      <c r="H14" s="20">
        <f t="shared" si="3"/>
        <v>0</v>
      </c>
      <c r="I14" s="21">
        <f t="shared" si="2"/>
        <v>0</v>
      </c>
    </row>
    <row r="15" spans="1:9" x14ac:dyDescent="0.25">
      <c r="A15" s="7">
        <v>113</v>
      </c>
      <c r="B15" s="7" t="s">
        <v>44</v>
      </c>
      <c r="C15" s="15" t="s">
        <v>67</v>
      </c>
      <c r="D15" s="7"/>
      <c r="E15" s="7">
        <f t="shared" si="0"/>
        <v>0</v>
      </c>
      <c r="F15" s="20">
        <f t="shared" si="1"/>
        <v>0</v>
      </c>
      <c r="G15" s="7"/>
      <c r="H15" s="20">
        <f t="shared" si="3"/>
        <v>0</v>
      </c>
      <c r="I15" s="21">
        <f t="shared" si="2"/>
        <v>0</v>
      </c>
    </row>
    <row r="16" spans="1:9" x14ac:dyDescent="0.25">
      <c r="A16" s="7">
        <v>114</v>
      </c>
      <c r="B16" s="7" t="s">
        <v>40</v>
      </c>
      <c r="C16" s="15" t="s">
        <v>83</v>
      </c>
      <c r="D16" s="7"/>
      <c r="E16" s="7">
        <f t="shared" si="0"/>
        <v>0</v>
      </c>
      <c r="F16" s="20">
        <f t="shared" si="1"/>
        <v>0</v>
      </c>
      <c r="G16" s="7"/>
      <c r="H16" s="20">
        <f t="shared" si="3"/>
        <v>0</v>
      </c>
      <c r="I16" s="21">
        <f t="shared" si="2"/>
        <v>0</v>
      </c>
    </row>
    <row r="17" spans="1:9" x14ac:dyDescent="0.25">
      <c r="A17" s="7">
        <v>115</v>
      </c>
      <c r="B17" s="7" t="s">
        <v>40</v>
      </c>
      <c r="C17" s="15" t="s">
        <v>84</v>
      </c>
      <c r="D17" s="7"/>
      <c r="E17" s="7">
        <f t="shared" si="0"/>
        <v>0</v>
      </c>
      <c r="F17" s="20">
        <f t="shared" si="1"/>
        <v>0</v>
      </c>
      <c r="G17" s="7"/>
      <c r="H17" s="20">
        <f t="shared" si="3"/>
        <v>0</v>
      </c>
      <c r="I17" s="21">
        <f t="shared" si="2"/>
        <v>0</v>
      </c>
    </row>
  </sheetData>
  <customSheetViews>
    <customSheetView guid="{D6BA57A5-118E-4B58-A351-7E1C36DA5B56}">
      <selection activeCell="D20" sqref="D20:D21"/>
      <pageMargins left="0.7" right="0.7" top="0.75" bottom="0.75" header="0.3" footer="0.3"/>
    </customSheetView>
    <customSheetView guid="{05B8E57A-BB97-41F0-B6FB-606E79293C77}">
      <selection activeCell="D20" sqref="D20:D21"/>
      <pageMargins left="0.7" right="0.7" top="0.75" bottom="0.75" header="0.3" footer="0.3"/>
    </customSheetView>
    <customSheetView guid="{3C013989-8552-4FE1-BB7E-C88994E2D13D}">
      <selection activeCell="D20" sqref="D20:D21"/>
      <pageMargins left="0.7" right="0.7" top="0.75" bottom="0.75" header="0.3" footer="0.3"/>
    </customSheetView>
    <customSheetView guid="{75B547B5-834C-4784-8C45-4C35B93C736F}">
      <selection activeCell="D20" sqref="D20:D21"/>
      <pageMargins left="0.7" right="0.7" top="0.75" bottom="0.75" header="0.3" footer="0.3"/>
    </customSheetView>
  </customSheetViews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G16"/>
  <sheetViews>
    <sheetView workbookViewId="0">
      <selection activeCell="G11" sqref="G11"/>
    </sheetView>
  </sheetViews>
  <sheetFormatPr defaultRowHeight="15" x14ac:dyDescent="0.25"/>
  <cols>
    <col min="1" max="1" width="17.42578125" customWidth="1"/>
    <col min="2" max="2" width="10.85546875" customWidth="1"/>
    <col min="3" max="3" width="11.140625" customWidth="1"/>
    <col min="4" max="4" width="11.5703125" customWidth="1"/>
    <col min="5" max="5" width="11.140625" customWidth="1"/>
  </cols>
  <sheetData>
    <row r="1" spans="1:7" ht="21" x14ac:dyDescent="0.35">
      <c r="A1" s="258" t="s">
        <v>247</v>
      </c>
      <c r="B1" s="258"/>
      <c r="C1" s="258"/>
      <c r="D1" s="258"/>
      <c r="E1" s="258"/>
      <c r="F1" s="258"/>
    </row>
    <row r="2" spans="1:7" x14ac:dyDescent="0.25">
      <c r="A2" s="56" t="s">
        <v>246</v>
      </c>
      <c r="B2" s="56" t="s">
        <v>85</v>
      </c>
      <c r="C2" s="56" t="s">
        <v>86</v>
      </c>
      <c r="D2" s="56" t="s">
        <v>87</v>
      </c>
      <c r="E2" s="56" t="s">
        <v>88</v>
      </c>
      <c r="F2" s="56" t="s">
        <v>37</v>
      </c>
    </row>
    <row r="3" spans="1:7" x14ac:dyDescent="0.25">
      <c r="A3" s="23" t="s">
        <v>243</v>
      </c>
      <c r="B3" s="7">
        <v>25000</v>
      </c>
      <c r="C3" s="7">
        <v>55000</v>
      </c>
      <c r="D3" s="7"/>
      <c r="E3" s="7"/>
      <c r="F3" s="57"/>
    </row>
    <row r="4" spans="1:7" x14ac:dyDescent="0.25">
      <c r="A4" s="23" t="s">
        <v>244</v>
      </c>
      <c r="B4" s="7">
        <v>35000</v>
      </c>
      <c r="C4" s="7">
        <v>50000</v>
      </c>
      <c r="D4" s="7"/>
      <c r="E4" s="7"/>
      <c r="F4" s="57"/>
    </row>
    <row r="5" spans="1:7" x14ac:dyDescent="0.25">
      <c r="A5" s="23" t="s">
        <v>245</v>
      </c>
      <c r="B5" s="7">
        <v>45000</v>
      </c>
      <c r="C5" s="7">
        <v>65000</v>
      </c>
      <c r="D5" s="7"/>
      <c r="E5" s="7"/>
      <c r="F5" s="57"/>
    </row>
    <row r="6" spans="1:7" ht="15.75" x14ac:dyDescent="0.25">
      <c r="A6" s="59" t="s">
        <v>37</v>
      </c>
      <c r="B6" s="57"/>
      <c r="C6" s="57"/>
      <c r="D6" s="57"/>
      <c r="E6" s="57"/>
      <c r="F6" s="259"/>
    </row>
    <row r="7" spans="1:7" ht="15.75" x14ac:dyDescent="0.25">
      <c r="A7" s="59" t="s">
        <v>89</v>
      </c>
      <c r="B7" s="57"/>
      <c r="C7" s="57"/>
      <c r="D7" s="57"/>
      <c r="E7" s="57"/>
      <c r="F7" s="260"/>
    </row>
    <row r="8" spans="1:7" ht="15.75" x14ac:dyDescent="0.25">
      <c r="A8" s="59" t="s">
        <v>90</v>
      </c>
      <c r="B8" s="57"/>
      <c r="C8" s="57"/>
      <c r="D8" s="57"/>
      <c r="E8" s="57"/>
      <c r="F8" s="260"/>
    </row>
    <row r="9" spans="1:7" ht="15.75" x14ac:dyDescent="0.25">
      <c r="A9" s="59" t="s">
        <v>91</v>
      </c>
      <c r="B9" s="58"/>
      <c r="C9" s="58"/>
      <c r="D9" s="58"/>
      <c r="E9" s="58"/>
      <c r="F9" s="261"/>
    </row>
    <row r="14" spans="1:7" x14ac:dyDescent="0.25">
      <c r="B14">
        <v>13000</v>
      </c>
      <c r="C14">
        <v>12000</v>
      </c>
      <c r="E14">
        <f>C14+B14</f>
        <v>25000</v>
      </c>
    </row>
    <row r="16" spans="1:7" x14ac:dyDescent="0.25">
      <c r="G16">
        <v>0</v>
      </c>
    </row>
  </sheetData>
  <scenarios current="1" show="1" sqref="A14">
    <scenario name="March" locked="1" count="12" user="IRFAN AFRIDI" comment="Created by IRFAN AFRIDI on 8/18/2021">
      <inputCells r="A2" val="Regions"/>
      <inputCells r="B2" val="Quarter 1"/>
      <inputCells r="C2" val="Quarter 2"/>
      <inputCells r="A3" val="Orangi"/>
      <inputCells r="B3" val="20000"/>
      <inputCells r="C3" val="50000"/>
      <inputCells r="A4" val="Baldia"/>
      <inputCells r="B4" val="30000"/>
      <inputCells r="C4" val="60000"/>
      <inputCells r="A5" val="Landhi"/>
      <inputCells r="B5" val="40000"/>
      <inputCells r="C5" val="70000"/>
    </scenario>
    <scenario name="April" locked="1" count="12" user="IRFAN AFRIDI" comment="Created by IRFAN AFRIDI on 8/18/2021">
      <inputCells r="A2" val="Regions"/>
      <inputCells r="B2" val="Quarter 1"/>
      <inputCells r="C2" val="Quarter 2"/>
      <inputCells r="A3" val="Orangi"/>
      <inputCells r="B3" val="25000"/>
      <inputCells r="C3" val="55000"/>
      <inputCells r="A4" val="Baldia"/>
      <inputCells r="B4" val="35000"/>
      <inputCells r="C4" val="50000"/>
      <inputCells r="A5" val="Landhi"/>
      <inputCells r="B5" val="45000"/>
      <inputCells r="C5" val="65000"/>
    </scenario>
  </scenarios>
  <customSheetViews>
    <customSheetView guid="{D6BA57A5-118E-4B58-A351-7E1C36DA5B56}">
      <selection activeCell="B14" sqref="B14"/>
      <pageMargins left="0.7" right="0.7" top="0.75" bottom="0.75" header="0.3" footer="0.3"/>
      <pageSetup orientation="portrait" r:id="rId1"/>
    </customSheetView>
    <customSheetView guid="{05B8E57A-BB97-41F0-B6FB-606E79293C77}">
      <selection activeCell="G11" sqref="G11"/>
      <pageMargins left="0.7" right="0.7" top="0.75" bottom="0.75" header="0.3" footer="0.3"/>
      <pageSetup orientation="portrait" r:id="rId2"/>
    </customSheetView>
    <customSheetView guid="{3C013989-8552-4FE1-BB7E-C88994E2D13D}">
      <selection activeCell="B14" sqref="B14"/>
      <pageMargins left="0.7" right="0.7" top="0.75" bottom="0.75" header="0.3" footer="0.3"/>
      <pageSetup orientation="portrait" r:id="rId3"/>
    </customSheetView>
    <customSheetView guid="{75B547B5-834C-4784-8C45-4C35B93C736F}">
      <selection activeCell="B14" sqref="B14"/>
      <pageMargins left="0.7" right="0.7" top="0.75" bottom="0.75" header="0.3" footer="0.3"/>
      <pageSetup orientation="portrait" r:id="rId4"/>
    </customSheetView>
  </customSheetViews>
  <mergeCells count="2">
    <mergeCell ref="A1:F1"/>
    <mergeCell ref="F6:F9"/>
  </mergeCell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AL23"/>
  <sheetViews>
    <sheetView zoomScaleNormal="100" workbookViewId="0">
      <selection activeCell="AG9" sqref="AG9"/>
    </sheetView>
  </sheetViews>
  <sheetFormatPr defaultRowHeight="15" x14ac:dyDescent="0.25"/>
  <cols>
    <col min="1" max="1" width="14.7109375" customWidth="1"/>
    <col min="2" max="31" width="2.85546875" customWidth="1"/>
    <col min="32" max="32" width="10.28515625" customWidth="1"/>
    <col min="33" max="33" width="7.42578125" customWidth="1"/>
    <col min="34" max="34" width="7.28515625" customWidth="1"/>
    <col min="35" max="35" width="6.140625" customWidth="1"/>
    <col min="36" max="36" width="12.28515625" customWidth="1"/>
    <col min="37" max="37" width="11.5703125" bestFit="1" customWidth="1"/>
    <col min="38" max="38" width="18.28515625" bestFit="1" customWidth="1"/>
  </cols>
  <sheetData>
    <row r="1" spans="1:38" ht="30" x14ac:dyDescent="0.25">
      <c r="A1" s="120" t="s">
        <v>0</v>
      </c>
      <c r="B1" s="120">
        <v>1</v>
      </c>
      <c r="C1" s="120">
        <v>2</v>
      </c>
      <c r="D1" s="120">
        <v>3</v>
      </c>
      <c r="E1" s="120">
        <v>4</v>
      </c>
      <c r="F1" s="120">
        <v>5</v>
      </c>
      <c r="G1" s="120">
        <v>6</v>
      </c>
      <c r="H1" s="120">
        <v>7</v>
      </c>
      <c r="I1" s="120">
        <v>8</v>
      </c>
      <c r="J1" s="120">
        <v>9</v>
      </c>
      <c r="K1" s="120">
        <v>10</v>
      </c>
      <c r="L1" s="120">
        <v>11</v>
      </c>
      <c r="M1" s="120">
        <v>12</v>
      </c>
      <c r="N1" s="120">
        <v>13</v>
      </c>
      <c r="O1" s="120">
        <v>14</v>
      </c>
      <c r="P1" s="120">
        <v>15</v>
      </c>
      <c r="Q1" s="120">
        <v>16</v>
      </c>
      <c r="R1" s="120">
        <v>17</v>
      </c>
      <c r="S1" s="120">
        <v>18</v>
      </c>
      <c r="T1" s="120">
        <v>19</v>
      </c>
      <c r="U1" s="120">
        <v>20</v>
      </c>
      <c r="V1" s="120">
        <v>21</v>
      </c>
      <c r="W1" s="120">
        <v>22</v>
      </c>
      <c r="X1" s="120">
        <v>23</v>
      </c>
      <c r="Y1" s="120">
        <v>24</v>
      </c>
      <c r="Z1" s="120">
        <v>25</v>
      </c>
      <c r="AA1" s="120">
        <v>26</v>
      </c>
      <c r="AB1" s="120">
        <v>27</v>
      </c>
      <c r="AC1" s="120">
        <v>28</v>
      </c>
      <c r="AD1" s="120">
        <v>29</v>
      </c>
      <c r="AE1" s="120">
        <v>30</v>
      </c>
      <c r="AF1" s="121" t="s">
        <v>77</v>
      </c>
      <c r="AG1" s="120" t="s">
        <v>92</v>
      </c>
      <c r="AH1" s="120" t="s">
        <v>93</v>
      </c>
      <c r="AI1" s="120" t="s">
        <v>94</v>
      </c>
      <c r="AJ1" s="120" t="s">
        <v>95</v>
      </c>
      <c r="AK1" s="131" t="s">
        <v>7</v>
      </c>
      <c r="AL1" s="131" t="s">
        <v>432</v>
      </c>
    </row>
    <row r="2" spans="1:38" x14ac:dyDescent="0.25">
      <c r="A2" s="7" t="s">
        <v>96</v>
      </c>
      <c r="B2" s="97" t="s">
        <v>394</v>
      </c>
      <c r="C2" s="97" t="s">
        <v>394</v>
      </c>
      <c r="D2" s="97" t="s">
        <v>394</v>
      </c>
      <c r="E2" s="97" t="s">
        <v>394</v>
      </c>
      <c r="F2" s="97" t="s">
        <v>394</v>
      </c>
      <c r="G2" s="97" t="s">
        <v>394</v>
      </c>
      <c r="H2" s="264" t="s">
        <v>474</v>
      </c>
      <c r="I2" s="97" t="s">
        <v>394</v>
      </c>
      <c r="J2" s="97" t="s">
        <v>394</v>
      </c>
      <c r="K2" s="97" t="s">
        <v>394</v>
      </c>
      <c r="L2" s="97" t="s">
        <v>394</v>
      </c>
      <c r="M2" s="97" t="s">
        <v>394</v>
      </c>
      <c r="N2" s="97" t="s">
        <v>394</v>
      </c>
      <c r="O2" s="98"/>
      <c r="P2" s="97" t="s">
        <v>99</v>
      </c>
      <c r="Q2" s="97" t="s">
        <v>99</v>
      </c>
      <c r="R2" s="97" t="s">
        <v>99</v>
      </c>
      <c r="S2" s="97" t="s">
        <v>99</v>
      </c>
      <c r="T2" s="97" t="s">
        <v>99</v>
      </c>
      <c r="U2" s="97" t="s">
        <v>99</v>
      </c>
      <c r="V2" s="98"/>
      <c r="W2" s="97" t="s">
        <v>99</v>
      </c>
      <c r="X2" s="97" t="s">
        <v>99</v>
      </c>
      <c r="Y2" s="97" t="s">
        <v>99</v>
      </c>
      <c r="Z2" s="97" t="s">
        <v>99</v>
      </c>
      <c r="AA2" s="97" t="s">
        <v>99</v>
      </c>
      <c r="AB2" s="97" t="s">
        <v>99</v>
      </c>
      <c r="AC2" s="98"/>
      <c r="AD2" s="97" t="s">
        <v>99</v>
      </c>
      <c r="AE2" s="97" t="s">
        <v>99</v>
      </c>
      <c r="AF2" s="7">
        <v>26</v>
      </c>
      <c r="AG2" s="7">
        <f>COUNTIF(B2:AE2, "P")</f>
        <v>26</v>
      </c>
      <c r="AH2" s="7">
        <f>COUNTIF(B2:AE2, "A")</f>
        <v>0</v>
      </c>
      <c r="AI2" s="7">
        <f>COUNTIF(B2:AE2, "L")</f>
        <v>0</v>
      </c>
      <c r="AJ2" s="7" t="str">
        <f>IF(AH2=0, "Excellent!", IF(AH2=1, "Good", IF(AH2=2, "Fair", IF(AH2=3, "Be Punctual", IF(AH2=4, "Plz Contact", "Struck off")))))</f>
        <v>Excellent!</v>
      </c>
      <c r="AK2" s="132">
        <f>AG2*100/26</f>
        <v>100</v>
      </c>
      <c r="AL2" s="39" t="str">
        <f>IF(AND(AK2&gt;70, AK2&lt;=100),"Eligible","Not Eligible")</f>
        <v>Eligible</v>
      </c>
    </row>
    <row r="3" spans="1:38" x14ac:dyDescent="0.25">
      <c r="A3" s="7" t="s">
        <v>20</v>
      </c>
      <c r="B3" s="97" t="s">
        <v>99</v>
      </c>
      <c r="C3" s="97" t="s">
        <v>99</v>
      </c>
      <c r="D3" s="97" t="s">
        <v>99</v>
      </c>
      <c r="E3" s="97" t="s">
        <v>99</v>
      </c>
      <c r="F3" s="97" t="s">
        <v>99</v>
      </c>
      <c r="G3" s="97" t="s">
        <v>99</v>
      </c>
      <c r="H3" s="265"/>
      <c r="I3" s="97" t="s">
        <v>40</v>
      </c>
      <c r="J3" s="97" t="s">
        <v>99</v>
      </c>
      <c r="K3" s="97" t="s">
        <v>99</v>
      </c>
      <c r="L3" s="97" t="s">
        <v>99</v>
      </c>
      <c r="M3" s="97" t="s">
        <v>99</v>
      </c>
      <c r="N3" s="97" t="s">
        <v>99</v>
      </c>
      <c r="O3" s="98"/>
      <c r="P3" s="97" t="s">
        <v>99</v>
      </c>
      <c r="Q3" s="97" t="s">
        <v>99</v>
      </c>
      <c r="R3" s="97" t="s">
        <v>99</v>
      </c>
      <c r="S3" s="97" t="s">
        <v>99</v>
      </c>
      <c r="T3" s="97" t="s">
        <v>99</v>
      </c>
      <c r="U3" s="97" t="s">
        <v>99</v>
      </c>
      <c r="V3" s="98"/>
      <c r="W3" s="97" t="s">
        <v>99</v>
      </c>
      <c r="X3" s="97" t="s">
        <v>99</v>
      </c>
      <c r="Y3" s="97" t="s">
        <v>99</v>
      </c>
      <c r="Z3" s="97" t="s">
        <v>99</v>
      </c>
      <c r="AA3" s="97" t="s">
        <v>99</v>
      </c>
      <c r="AB3" s="97" t="s">
        <v>99</v>
      </c>
      <c r="AC3" s="98"/>
      <c r="AD3" s="97" t="s">
        <v>99</v>
      </c>
      <c r="AE3" s="97" t="s">
        <v>99</v>
      </c>
      <c r="AF3" s="7">
        <v>26</v>
      </c>
      <c r="AG3" s="7">
        <f t="shared" ref="AG3:AG10" si="0">COUNTIF(B3:AE3, "P")</f>
        <v>25</v>
      </c>
      <c r="AH3" s="7">
        <f t="shared" ref="AH3:AH10" si="1">COUNTIF(B3:AE3, "A")</f>
        <v>1</v>
      </c>
      <c r="AI3" s="7">
        <f t="shared" ref="AI3:AI10" si="2">COUNTIF(B3:AE3, "L")</f>
        <v>0</v>
      </c>
      <c r="AJ3" s="7" t="str">
        <f t="shared" ref="AJ3:AJ10" si="3">IF(AH3=0, "Excellent!", IF(AH3=1, "Good", IF(AH3=2, "Fair", IF(AH3=3, "Be Punctual", IF(AH3=4, "Plz Contact", "Struck off")))))</f>
        <v>Good</v>
      </c>
      <c r="AK3" s="132">
        <f t="shared" ref="AK3:AK16" si="4">AG3*100/26</f>
        <v>96.15384615384616</v>
      </c>
      <c r="AL3" s="39" t="str">
        <f t="shared" ref="AL3:AL10" si="5">IF(AND(AK3&gt;70, AK3&lt;=100),"Eligible","Not Eligible")</f>
        <v>Eligible</v>
      </c>
    </row>
    <row r="4" spans="1:38" x14ac:dyDescent="0.25">
      <c r="A4" s="7" t="s">
        <v>97</v>
      </c>
      <c r="B4" s="97" t="s">
        <v>99</v>
      </c>
      <c r="C4" s="97" t="s">
        <v>40</v>
      </c>
      <c r="D4" s="97" t="s">
        <v>40</v>
      </c>
      <c r="E4" s="97" t="s">
        <v>99</v>
      </c>
      <c r="F4" s="97" t="s">
        <v>99</v>
      </c>
      <c r="G4" s="97" t="s">
        <v>99</v>
      </c>
      <c r="H4" s="265"/>
      <c r="I4" s="97" t="s">
        <v>99</v>
      </c>
      <c r="J4" s="97" t="s">
        <v>99</v>
      </c>
      <c r="K4" s="97" t="s">
        <v>99</v>
      </c>
      <c r="L4" s="97" t="s">
        <v>99</v>
      </c>
      <c r="M4" s="97" t="s">
        <v>99</v>
      </c>
      <c r="N4" s="97" t="s">
        <v>99</v>
      </c>
      <c r="O4" s="98"/>
      <c r="P4" s="97" t="s">
        <v>99</v>
      </c>
      <c r="Q4" s="97" t="s">
        <v>99</v>
      </c>
      <c r="R4" s="97" t="s">
        <v>99</v>
      </c>
      <c r="S4" s="97" t="s">
        <v>99</v>
      </c>
      <c r="T4" s="97" t="s">
        <v>99</v>
      </c>
      <c r="U4" s="97" t="s">
        <v>99</v>
      </c>
      <c r="V4" s="98"/>
      <c r="W4" s="97" t="s">
        <v>99</v>
      </c>
      <c r="X4" s="97" t="s">
        <v>99</v>
      </c>
      <c r="Y4" s="97" t="s">
        <v>99</v>
      </c>
      <c r="Z4" s="97" t="s">
        <v>99</v>
      </c>
      <c r="AA4" s="97" t="s">
        <v>99</v>
      </c>
      <c r="AB4" s="97" t="s">
        <v>99</v>
      </c>
      <c r="AC4" s="98"/>
      <c r="AD4" s="97" t="s">
        <v>99</v>
      </c>
      <c r="AE4" s="97" t="s">
        <v>99</v>
      </c>
      <c r="AF4" s="7">
        <v>26</v>
      </c>
      <c r="AG4" s="7">
        <f t="shared" si="0"/>
        <v>24</v>
      </c>
      <c r="AH4" s="7">
        <f t="shared" si="1"/>
        <v>2</v>
      </c>
      <c r="AI4" s="7">
        <f t="shared" si="2"/>
        <v>0</v>
      </c>
      <c r="AJ4" s="7" t="str">
        <f t="shared" si="3"/>
        <v>Fair</v>
      </c>
      <c r="AK4" s="132">
        <f t="shared" si="4"/>
        <v>92.307692307692307</v>
      </c>
      <c r="AL4" s="39" t="str">
        <f t="shared" si="5"/>
        <v>Eligible</v>
      </c>
    </row>
    <row r="5" spans="1:38" x14ac:dyDescent="0.25">
      <c r="A5" s="7" t="s">
        <v>98</v>
      </c>
      <c r="B5" s="97" t="s">
        <v>99</v>
      </c>
      <c r="C5" s="97" t="s">
        <v>99</v>
      </c>
      <c r="D5" s="97" t="s">
        <v>40</v>
      </c>
      <c r="E5" s="97" t="s">
        <v>40</v>
      </c>
      <c r="F5" s="97" t="s">
        <v>100</v>
      </c>
      <c r="G5" s="97" t="s">
        <v>99</v>
      </c>
      <c r="H5" s="265"/>
      <c r="I5" s="97" t="s">
        <v>99</v>
      </c>
      <c r="J5" s="97" t="s">
        <v>99</v>
      </c>
      <c r="K5" s="97" t="s">
        <v>99</v>
      </c>
      <c r="L5" s="97" t="s">
        <v>99</v>
      </c>
      <c r="M5" s="97" t="s">
        <v>99</v>
      </c>
      <c r="N5" s="97" t="s">
        <v>99</v>
      </c>
      <c r="O5" s="98"/>
      <c r="P5" s="97" t="s">
        <v>99</v>
      </c>
      <c r="Q5" s="97" t="s">
        <v>99</v>
      </c>
      <c r="R5" s="97" t="s">
        <v>99</v>
      </c>
      <c r="S5" s="97" t="s">
        <v>99</v>
      </c>
      <c r="T5" s="97" t="s">
        <v>99</v>
      </c>
      <c r="U5" s="97" t="s">
        <v>99</v>
      </c>
      <c r="V5" s="98"/>
      <c r="W5" s="97" t="s">
        <v>99</v>
      </c>
      <c r="X5" s="97" t="s">
        <v>99</v>
      </c>
      <c r="Y5" s="97" t="s">
        <v>99</v>
      </c>
      <c r="Z5" s="97" t="s">
        <v>99</v>
      </c>
      <c r="AA5" s="97" t="s">
        <v>99</v>
      </c>
      <c r="AB5" s="97" t="s">
        <v>99</v>
      </c>
      <c r="AC5" s="98"/>
      <c r="AD5" s="97" t="s">
        <v>99</v>
      </c>
      <c r="AE5" s="97" t="s">
        <v>99</v>
      </c>
      <c r="AF5" s="7">
        <v>26</v>
      </c>
      <c r="AG5" s="7">
        <f t="shared" si="0"/>
        <v>23</v>
      </c>
      <c r="AH5" s="7">
        <f t="shared" si="1"/>
        <v>3</v>
      </c>
      <c r="AI5" s="7">
        <f t="shared" si="2"/>
        <v>0</v>
      </c>
      <c r="AJ5" s="7" t="str">
        <f t="shared" si="3"/>
        <v>Be Punctual</v>
      </c>
      <c r="AK5" s="132">
        <f t="shared" si="4"/>
        <v>88.461538461538467</v>
      </c>
      <c r="AL5" s="39" t="str">
        <f t="shared" si="5"/>
        <v>Eligible</v>
      </c>
    </row>
    <row r="6" spans="1:38" x14ac:dyDescent="0.25">
      <c r="A6" s="7" t="s">
        <v>11</v>
      </c>
      <c r="B6" s="97" t="s">
        <v>99</v>
      </c>
      <c r="C6" s="97" t="s">
        <v>40</v>
      </c>
      <c r="D6" s="97" t="s">
        <v>395</v>
      </c>
      <c r="E6" s="97" t="s">
        <v>395</v>
      </c>
      <c r="F6" s="97" t="s">
        <v>40</v>
      </c>
      <c r="G6" s="97" t="s">
        <v>40</v>
      </c>
      <c r="H6" s="265"/>
      <c r="I6" s="97" t="s">
        <v>40</v>
      </c>
      <c r="J6" s="97" t="s">
        <v>99</v>
      </c>
      <c r="K6" s="97" t="s">
        <v>99</v>
      </c>
      <c r="L6" s="97" t="s">
        <v>99</v>
      </c>
      <c r="M6" s="97" t="s">
        <v>99</v>
      </c>
      <c r="N6" s="97" t="s">
        <v>99</v>
      </c>
      <c r="O6" s="98"/>
      <c r="P6" s="97" t="s">
        <v>99</v>
      </c>
      <c r="Q6" s="97" t="s">
        <v>99</v>
      </c>
      <c r="R6" s="97" t="s">
        <v>99</v>
      </c>
      <c r="S6" s="97" t="s">
        <v>99</v>
      </c>
      <c r="T6" s="97" t="s">
        <v>99</v>
      </c>
      <c r="U6" s="97" t="s">
        <v>99</v>
      </c>
      <c r="V6" s="98"/>
      <c r="W6" s="97" t="s">
        <v>99</v>
      </c>
      <c r="X6" s="97" t="s">
        <v>99</v>
      </c>
      <c r="Y6" s="97" t="s">
        <v>99</v>
      </c>
      <c r="Z6" s="97" t="s">
        <v>99</v>
      </c>
      <c r="AA6" s="97" t="s">
        <v>99</v>
      </c>
      <c r="AB6" s="97" t="s">
        <v>99</v>
      </c>
      <c r="AC6" s="98"/>
      <c r="AD6" s="97" t="s">
        <v>99</v>
      </c>
      <c r="AE6" s="97" t="s">
        <v>99</v>
      </c>
      <c r="AF6" s="7">
        <v>26</v>
      </c>
      <c r="AG6" s="7">
        <f t="shared" si="0"/>
        <v>20</v>
      </c>
      <c r="AH6" s="7">
        <f t="shared" si="1"/>
        <v>4</v>
      </c>
      <c r="AI6" s="7">
        <f t="shared" si="2"/>
        <v>2</v>
      </c>
      <c r="AJ6" s="7" t="str">
        <f t="shared" si="3"/>
        <v>Plz Contact</v>
      </c>
      <c r="AK6" s="132">
        <f t="shared" si="4"/>
        <v>76.92307692307692</v>
      </c>
      <c r="AL6" s="39" t="str">
        <f t="shared" si="5"/>
        <v>Eligible</v>
      </c>
    </row>
    <row r="7" spans="1:38" x14ac:dyDescent="0.25">
      <c r="A7" s="7" t="s">
        <v>12</v>
      </c>
      <c r="B7" s="97" t="s">
        <v>99</v>
      </c>
      <c r="C7" s="97" t="s">
        <v>99</v>
      </c>
      <c r="D7" s="97" t="s">
        <v>99</v>
      </c>
      <c r="E7" s="97" t="s">
        <v>40</v>
      </c>
      <c r="F7" s="97" t="s">
        <v>40</v>
      </c>
      <c r="G7" s="97" t="s">
        <v>40</v>
      </c>
      <c r="H7" s="265"/>
      <c r="I7" s="97" t="s">
        <v>99</v>
      </c>
      <c r="J7" s="97" t="s">
        <v>40</v>
      </c>
      <c r="K7" s="97" t="s">
        <v>40</v>
      </c>
      <c r="L7" s="97" t="s">
        <v>40</v>
      </c>
      <c r="M7" s="97" t="s">
        <v>99</v>
      </c>
      <c r="N7" s="97" t="s">
        <v>99</v>
      </c>
      <c r="O7" s="98"/>
      <c r="P7" s="97" t="s">
        <v>40</v>
      </c>
      <c r="Q7" s="97" t="s">
        <v>40</v>
      </c>
      <c r="R7" s="97" t="s">
        <v>40</v>
      </c>
      <c r="S7" s="97" t="s">
        <v>99</v>
      </c>
      <c r="T7" s="97" t="s">
        <v>99</v>
      </c>
      <c r="U7" s="97" t="s">
        <v>99</v>
      </c>
      <c r="V7" s="98"/>
      <c r="W7" s="97" t="s">
        <v>99</v>
      </c>
      <c r="X7" s="97" t="s">
        <v>99</v>
      </c>
      <c r="Y7" s="97" t="s">
        <v>99</v>
      </c>
      <c r="Z7" s="97" t="s">
        <v>99</v>
      </c>
      <c r="AA7" s="97" t="s">
        <v>99</v>
      </c>
      <c r="AB7" s="97" t="s">
        <v>99</v>
      </c>
      <c r="AC7" s="98"/>
      <c r="AD7" s="97" t="s">
        <v>99</v>
      </c>
      <c r="AE7" s="97" t="s">
        <v>99</v>
      </c>
      <c r="AF7" s="7">
        <v>26</v>
      </c>
      <c r="AG7" s="7">
        <f t="shared" si="0"/>
        <v>17</v>
      </c>
      <c r="AH7" s="7">
        <f t="shared" si="1"/>
        <v>9</v>
      </c>
      <c r="AI7" s="7">
        <f t="shared" si="2"/>
        <v>0</v>
      </c>
      <c r="AJ7" s="7" t="str">
        <f t="shared" si="3"/>
        <v>Struck off</v>
      </c>
      <c r="AK7" s="132">
        <f t="shared" si="4"/>
        <v>65.384615384615387</v>
      </c>
      <c r="AL7" s="39" t="str">
        <f t="shared" si="5"/>
        <v>Not Eligible</v>
      </c>
    </row>
    <row r="8" spans="1:38" x14ac:dyDescent="0.25">
      <c r="A8" s="7" t="s">
        <v>16</v>
      </c>
      <c r="B8" s="97" t="s">
        <v>99</v>
      </c>
      <c r="C8" s="97" t="s">
        <v>99</v>
      </c>
      <c r="D8" s="97" t="s">
        <v>99</v>
      </c>
      <c r="E8" s="97" t="s">
        <v>99</v>
      </c>
      <c r="F8" s="97" t="s">
        <v>99</v>
      </c>
      <c r="G8" s="97" t="s">
        <v>99</v>
      </c>
      <c r="H8" s="265"/>
      <c r="I8" s="97" t="s">
        <v>99</v>
      </c>
      <c r="J8" s="97" t="s">
        <v>99</v>
      </c>
      <c r="K8" s="97" t="s">
        <v>99</v>
      </c>
      <c r="L8" s="97" t="s">
        <v>99</v>
      </c>
      <c r="M8" s="97" t="s">
        <v>99</v>
      </c>
      <c r="N8" s="97" t="s">
        <v>99</v>
      </c>
      <c r="O8" s="98"/>
      <c r="P8" s="97" t="s">
        <v>99</v>
      </c>
      <c r="Q8" s="97" t="s">
        <v>99</v>
      </c>
      <c r="R8" s="97" t="s">
        <v>99</v>
      </c>
      <c r="S8" s="97" t="s">
        <v>99</v>
      </c>
      <c r="T8" s="97" t="s">
        <v>99</v>
      </c>
      <c r="U8" s="97" t="s">
        <v>99</v>
      </c>
      <c r="V8" s="98"/>
      <c r="W8" s="97" t="s">
        <v>99</v>
      </c>
      <c r="X8" s="97" t="s">
        <v>99</v>
      </c>
      <c r="Y8" s="97" t="s">
        <v>99</v>
      </c>
      <c r="Z8" s="97" t="s">
        <v>99</v>
      </c>
      <c r="AA8" s="97" t="s">
        <v>99</v>
      </c>
      <c r="AB8" s="97" t="s">
        <v>99</v>
      </c>
      <c r="AC8" s="98"/>
      <c r="AD8" s="97" t="s">
        <v>99</v>
      </c>
      <c r="AE8" s="97" t="s">
        <v>99</v>
      </c>
      <c r="AF8" s="7">
        <v>26</v>
      </c>
      <c r="AG8" s="7">
        <f t="shared" si="0"/>
        <v>26</v>
      </c>
      <c r="AH8" s="7">
        <f t="shared" si="1"/>
        <v>0</v>
      </c>
      <c r="AI8" s="7">
        <f t="shared" si="2"/>
        <v>0</v>
      </c>
      <c r="AJ8" s="7" t="str">
        <f t="shared" si="3"/>
        <v>Excellent!</v>
      </c>
      <c r="AK8" s="132">
        <f t="shared" si="4"/>
        <v>100</v>
      </c>
      <c r="AL8" s="39" t="str">
        <f t="shared" si="5"/>
        <v>Eligible</v>
      </c>
    </row>
    <row r="9" spans="1:38" x14ac:dyDescent="0.25">
      <c r="A9" s="7" t="s">
        <v>15</v>
      </c>
      <c r="B9" s="97" t="s">
        <v>99</v>
      </c>
      <c r="C9" s="97" t="s">
        <v>99</v>
      </c>
      <c r="D9" s="97" t="s">
        <v>99</v>
      </c>
      <c r="E9" s="97" t="s">
        <v>99</v>
      </c>
      <c r="F9" s="97" t="s">
        <v>99</v>
      </c>
      <c r="G9" s="97" t="s">
        <v>99</v>
      </c>
      <c r="H9" s="265"/>
      <c r="I9" s="97" t="s">
        <v>40</v>
      </c>
      <c r="J9" s="97" t="s">
        <v>40</v>
      </c>
      <c r="K9" s="97" t="s">
        <v>40</v>
      </c>
      <c r="L9" s="97" t="s">
        <v>40</v>
      </c>
      <c r="M9" s="97" t="s">
        <v>40</v>
      </c>
      <c r="N9" s="97" t="s">
        <v>99</v>
      </c>
      <c r="O9" s="98"/>
      <c r="P9" s="97" t="s">
        <v>40</v>
      </c>
      <c r="Q9" s="97" t="s">
        <v>40</v>
      </c>
      <c r="R9" s="97" t="s">
        <v>40</v>
      </c>
      <c r="S9" s="97" t="s">
        <v>99</v>
      </c>
      <c r="T9" s="97" t="s">
        <v>99</v>
      </c>
      <c r="U9" s="97" t="s">
        <v>99</v>
      </c>
      <c r="V9" s="98"/>
      <c r="W9" s="97" t="s">
        <v>99</v>
      </c>
      <c r="X9" s="97" t="s">
        <v>99</v>
      </c>
      <c r="Y9" s="97" t="s">
        <v>99</v>
      </c>
      <c r="Z9" s="97" t="s">
        <v>99</v>
      </c>
      <c r="AA9" s="97" t="s">
        <v>99</v>
      </c>
      <c r="AB9" s="97" t="s">
        <v>99</v>
      </c>
      <c r="AC9" s="98"/>
      <c r="AD9" s="97" t="s">
        <v>99</v>
      </c>
      <c r="AE9" s="97" t="s">
        <v>99</v>
      </c>
      <c r="AF9" s="7">
        <v>26</v>
      </c>
      <c r="AG9" s="7">
        <f t="shared" si="0"/>
        <v>18</v>
      </c>
      <c r="AH9" s="7">
        <f t="shared" si="1"/>
        <v>8</v>
      </c>
      <c r="AI9" s="7">
        <f t="shared" si="2"/>
        <v>0</v>
      </c>
      <c r="AJ9" s="7" t="str">
        <f t="shared" si="3"/>
        <v>Struck off</v>
      </c>
      <c r="AK9" s="132">
        <f t="shared" si="4"/>
        <v>69.230769230769226</v>
      </c>
      <c r="AL9" s="39" t="str">
        <f t="shared" si="5"/>
        <v>Not Eligible</v>
      </c>
    </row>
    <row r="10" spans="1:38" x14ac:dyDescent="0.25">
      <c r="A10" s="7" t="s">
        <v>67</v>
      </c>
      <c r="B10" s="97" t="s">
        <v>99</v>
      </c>
      <c r="C10" s="97" t="s">
        <v>99</v>
      </c>
      <c r="D10" s="97" t="s">
        <v>99</v>
      </c>
      <c r="E10" s="97" t="s">
        <v>99</v>
      </c>
      <c r="F10" s="97" t="s">
        <v>395</v>
      </c>
      <c r="G10" s="97" t="s">
        <v>395</v>
      </c>
      <c r="H10" s="265"/>
      <c r="I10" s="97" t="s">
        <v>99</v>
      </c>
      <c r="J10" s="97" t="s">
        <v>99</v>
      </c>
      <c r="K10" s="97" t="s">
        <v>99</v>
      </c>
      <c r="L10" s="97" t="s">
        <v>99</v>
      </c>
      <c r="M10" s="97" t="s">
        <v>99</v>
      </c>
      <c r="N10" s="97" t="s">
        <v>99</v>
      </c>
      <c r="O10" s="98"/>
      <c r="P10" s="97" t="s">
        <v>99</v>
      </c>
      <c r="Q10" s="97" t="s">
        <v>99</v>
      </c>
      <c r="R10" s="97" t="s">
        <v>99</v>
      </c>
      <c r="S10" s="97" t="s">
        <v>99</v>
      </c>
      <c r="T10" s="97" t="s">
        <v>99</v>
      </c>
      <c r="U10" s="97" t="s">
        <v>99</v>
      </c>
      <c r="V10" s="98"/>
      <c r="W10" s="97" t="s">
        <v>99</v>
      </c>
      <c r="X10" s="97" t="s">
        <v>99</v>
      </c>
      <c r="Y10" s="97" t="s">
        <v>99</v>
      </c>
      <c r="Z10" s="97" t="s">
        <v>99</v>
      </c>
      <c r="AA10" s="97" t="s">
        <v>99</v>
      </c>
      <c r="AB10" s="97" t="s">
        <v>99</v>
      </c>
      <c r="AC10" s="98"/>
      <c r="AD10" s="97" t="s">
        <v>99</v>
      </c>
      <c r="AE10" s="97" t="s">
        <v>99</v>
      </c>
      <c r="AF10" s="7">
        <v>26</v>
      </c>
      <c r="AG10" s="7">
        <f t="shared" si="0"/>
        <v>24</v>
      </c>
      <c r="AH10" s="7">
        <f t="shared" si="1"/>
        <v>0</v>
      </c>
      <c r="AI10" s="7">
        <f t="shared" si="2"/>
        <v>2</v>
      </c>
      <c r="AJ10" s="7" t="str">
        <f t="shared" si="3"/>
        <v>Excellent!</v>
      </c>
      <c r="AK10" s="132">
        <f t="shared" si="4"/>
        <v>92.307692307692307</v>
      </c>
      <c r="AL10" s="39" t="str">
        <f t="shared" si="5"/>
        <v>Eligible</v>
      </c>
    </row>
    <row r="11" spans="1:38" x14ac:dyDescent="0.25">
      <c r="A11" s="7"/>
      <c r="B11" s="7"/>
      <c r="C11" s="7"/>
      <c r="D11" s="7"/>
      <c r="E11" s="7"/>
      <c r="F11" s="7"/>
      <c r="G11" s="7"/>
      <c r="H11" s="265"/>
      <c r="I11" s="7"/>
      <c r="J11" s="7"/>
      <c r="K11" s="7"/>
      <c r="L11" s="7"/>
      <c r="M11" s="7"/>
      <c r="N11" s="7"/>
      <c r="O11" s="22"/>
      <c r="P11" s="7"/>
      <c r="Q11" s="7"/>
      <c r="R11" s="7"/>
      <c r="S11" s="7"/>
      <c r="T11" s="7"/>
      <c r="U11" s="7"/>
      <c r="V11" s="22"/>
      <c r="W11" s="7"/>
      <c r="X11" s="7"/>
      <c r="Y11" s="7"/>
      <c r="Z11" s="7"/>
      <c r="AA11" s="7"/>
      <c r="AB11" s="7"/>
      <c r="AC11" s="22"/>
      <c r="AD11" s="7"/>
      <c r="AE11" s="7"/>
      <c r="AF11" s="7"/>
      <c r="AG11" s="7"/>
      <c r="AH11" s="7"/>
      <c r="AI11" s="7"/>
      <c r="AJ11" s="7"/>
      <c r="AK11" s="132">
        <f t="shared" si="4"/>
        <v>0</v>
      </c>
      <c r="AL11" s="39"/>
    </row>
    <row r="12" spans="1:38" x14ac:dyDescent="0.25">
      <c r="A12" s="7"/>
      <c r="B12" s="7"/>
      <c r="C12" s="7"/>
      <c r="D12" s="7"/>
      <c r="E12" s="7"/>
      <c r="F12" s="7"/>
      <c r="G12" s="7"/>
      <c r="H12" s="265"/>
      <c r="I12" s="7"/>
      <c r="J12" s="7"/>
      <c r="K12" s="7"/>
      <c r="L12" s="7"/>
      <c r="M12" s="7"/>
      <c r="N12" s="7"/>
      <c r="O12" s="22"/>
      <c r="P12" s="7"/>
      <c r="Q12" s="7"/>
      <c r="R12" s="7"/>
      <c r="S12" s="7"/>
      <c r="T12" s="7"/>
      <c r="U12" s="7"/>
      <c r="V12" s="22"/>
      <c r="W12" s="7"/>
      <c r="X12" s="7"/>
      <c r="Y12" s="7"/>
      <c r="Z12" s="7"/>
      <c r="AA12" s="7"/>
      <c r="AB12" s="7"/>
      <c r="AC12" s="22"/>
      <c r="AD12" s="7"/>
      <c r="AE12" s="7"/>
      <c r="AF12" s="7"/>
      <c r="AG12" s="7"/>
      <c r="AH12" s="7"/>
      <c r="AI12" s="7"/>
      <c r="AJ12" s="7"/>
      <c r="AK12" s="132">
        <f t="shared" si="4"/>
        <v>0</v>
      </c>
      <c r="AL12" s="39"/>
    </row>
    <row r="13" spans="1:38" x14ac:dyDescent="0.25">
      <c r="A13" s="7"/>
      <c r="B13" s="7"/>
      <c r="C13" s="7"/>
      <c r="D13" s="7"/>
      <c r="E13" s="7"/>
      <c r="F13" s="7"/>
      <c r="G13" s="7"/>
      <c r="H13" s="265"/>
      <c r="I13" s="7"/>
      <c r="J13" s="7"/>
      <c r="K13" s="7"/>
      <c r="L13" s="7"/>
      <c r="M13" s="7"/>
      <c r="N13" s="7"/>
      <c r="O13" s="22"/>
      <c r="P13" s="7"/>
      <c r="Q13" s="7"/>
      <c r="R13" s="7"/>
      <c r="S13" s="7"/>
      <c r="T13" s="7"/>
      <c r="U13" s="7"/>
      <c r="V13" s="22"/>
      <c r="W13" s="7"/>
      <c r="X13" s="7"/>
      <c r="Y13" s="7"/>
      <c r="Z13" s="7"/>
      <c r="AA13" s="7"/>
      <c r="AB13" s="7"/>
      <c r="AC13" s="22"/>
      <c r="AD13" s="7"/>
      <c r="AE13" s="7"/>
      <c r="AF13" s="7"/>
      <c r="AG13" s="7"/>
      <c r="AH13" s="7"/>
      <c r="AI13" s="7"/>
      <c r="AJ13" s="7"/>
      <c r="AK13" s="132">
        <f t="shared" si="4"/>
        <v>0</v>
      </c>
      <c r="AL13" s="39"/>
    </row>
    <row r="14" spans="1:38" x14ac:dyDescent="0.25">
      <c r="A14" s="7"/>
      <c r="B14" s="7"/>
      <c r="C14" s="7"/>
      <c r="D14" s="7"/>
      <c r="E14" s="7"/>
      <c r="F14" s="7"/>
      <c r="G14" s="7"/>
      <c r="H14" s="265"/>
      <c r="I14" s="7"/>
      <c r="J14" s="7"/>
      <c r="K14" s="7"/>
      <c r="L14" s="7"/>
      <c r="M14" s="7"/>
      <c r="N14" s="7"/>
      <c r="O14" s="22"/>
      <c r="P14" s="7"/>
      <c r="Q14" s="7"/>
      <c r="R14" s="7"/>
      <c r="S14" s="7"/>
      <c r="T14" s="7"/>
      <c r="U14" s="7"/>
      <c r="V14" s="22"/>
      <c r="W14" s="7"/>
      <c r="X14" s="7"/>
      <c r="Y14" s="7"/>
      <c r="Z14" s="7"/>
      <c r="AA14" s="7"/>
      <c r="AB14" s="7"/>
      <c r="AC14" s="22"/>
      <c r="AD14" s="7"/>
      <c r="AE14" s="7"/>
      <c r="AF14" s="7"/>
      <c r="AG14" s="7"/>
      <c r="AH14" s="7"/>
      <c r="AI14" s="7"/>
      <c r="AJ14" s="7"/>
      <c r="AK14" s="132">
        <f t="shared" si="4"/>
        <v>0</v>
      </c>
      <c r="AL14" s="39"/>
    </row>
    <row r="15" spans="1:38" x14ac:dyDescent="0.25">
      <c r="A15" s="7"/>
      <c r="B15" s="7"/>
      <c r="C15" s="7"/>
      <c r="D15" s="7"/>
      <c r="E15" s="7"/>
      <c r="F15" s="7"/>
      <c r="G15" s="7"/>
      <c r="H15" s="265"/>
      <c r="I15" s="7"/>
      <c r="J15" s="7"/>
      <c r="K15" s="7"/>
      <c r="L15" s="7"/>
      <c r="M15" s="7"/>
      <c r="N15" s="7"/>
      <c r="O15" s="22"/>
      <c r="P15" s="7"/>
      <c r="Q15" s="7"/>
      <c r="R15" s="7"/>
      <c r="S15" s="7"/>
      <c r="T15" s="7"/>
      <c r="U15" s="7"/>
      <c r="V15" s="22"/>
      <c r="W15" s="7"/>
      <c r="X15" s="7"/>
      <c r="Y15" s="7"/>
      <c r="Z15" s="7"/>
      <c r="AA15" s="7"/>
      <c r="AB15" s="7"/>
      <c r="AC15" s="22"/>
      <c r="AD15" s="7"/>
      <c r="AE15" s="7"/>
      <c r="AF15" s="7"/>
      <c r="AG15" s="7"/>
      <c r="AH15" s="7"/>
      <c r="AI15" s="7"/>
      <c r="AJ15" s="7"/>
      <c r="AK15" s="132">
        <f t="shared" si="4"/>
        <v>0</v>
      </c>
      <c r="AL15" s="39"/>
    </row>
    <row r="16" spans="1:38" x14ac:dyDescent="0.25">
      <c r="A16" s="7"/>
      <c r="B16" s="7"/>
      <c r="C16" s="7"/>
      <c r="D16" s="7"/>
      <c r="E16" s="7"/>
      <c r="F16" s="7"/>
      <c r="G16" s="7"/>
      <c r="H16" s="266"/>
      <c r="I16" s="7"/>
      <c r="J16" s="7"/>
      <c r="K16" s="7"/>
      <c r="L16" s="7"/>
      <c r="M16" s="7"/>
      <c r="N16" s="7"/>
      <c r="O16" s="22"/>
      <c r="P16" s="7"/>
      <c r="Q16" s="7"/>
      <c r="R16" s="7"/>
      <c r="S16" s="7"/>
      <c r="T16" s="7"/>
      <c r="U16" s="7"/>
      <c r="V16" s="22"/>
      <c r="W16" s="7"/>
      <c r="X16" s="7"/>
      <c r="Y16" s="7"/>
      <c r="Z16" s="7"/>
      <c r="AA16" s="7"/>
      <c r="AB16" s="7"/>
      <c r="AC16" s="22"/>
      <c r="AD16" s="7"/>
      <c r="AE16" s="7"/>
      <c r="AF16" s="7"/>
      <c r="AG16" s="7"/>
      <c r="AH16" s="7"/>
      <c r="AI16" s="7"/>
      <c r="AJ16" s="7"/>
      <c r="AK16" s="132">
        <f t="shared" si="4"/>
        <v>0</v>
      </c>
      <c r="AL16" s="39"/>
    </row>
    <row r="20" spans="1:35" x14ac:dyDescent="0.25">
      <c r="A20" t="s">
        <v>101</v>
      </c>
      <c r="B20">
        <v>1</v>
      </c>
      <c r="C20">
        <v>2</v>
      </c>
      <c r="D20">
        <v>3</v>
      </c>
      <c r="E20">
        <v>4</v>
      </c>
      <c r="F20">
        <v>5</v>
      </c>
      <c r="G20">
        <v>4</v>
      </c>
      <c r="H20">
        <v>1</v>
      </c>
      <c r="I20" t="s">
        <v>100</v>
      </c>
      <c r="J20" t="s">
        <v>100</v>
      </c>
      <c r="K20" t="s">
        <v>100</v>
      </c>
      <c r="L20">
        <v>1</v>
      </c>
      <c r="N20" s="267">
        <f>COUNT(B20:M20)</f>
        <v>8</v>
      </c>
      <c r="O20" s="267"/>
      <c r="P20" s="267"/>
      <c r="Q20" s="267"/>
      <c r="R20" s="267"/>
      <c r="S20" s="267"/>
      <c r="U20" s="263" t="s">
        <v>109</v>
      </c>
      <c r="V20" s="263"/>
      <c r="W20" s="263"/>
      <c r="X20" s="263"/>
      <c r="Y20" s="263"/>
      <c r="Z20" s="263"/>
      <c r="AA20" s="263"/>
      <c r="AB20" s="263"/>
      <c r="AC20" s="263"/>
      <c r="AD20" s="263"/>
      <c r="AE20" s="263"/>
    </row>
    <row r="21" spans="1:35" x14ac:dyDescent="0.25">
      <c r="A21" t="s">
        <v>102</v>
      </c>
      <c r="B21">
        <v>1</v>
      </c>
      <c r="C21">
        <v>1</v>
      </c>
      <c r="D21">
        <v>1</v>
      </c>
      <c r="E21" t="s">
        <v>100</v>
      </c>
      <c r="F21" t="s">
        <v>105</v>
      </c>
      <c r="G21" t="s">
        <v>100</v>
      </c>
      <c r="N21" s="267">
        <f>COUNTA(B21:L21)</f>
        <v>6</v>
      </c>
      <c r="O21" s="267"/>
      <c r="P21" s="267"/>
      <c r="Q21" s="267"/>
      <c r="R21" s="267"/>
      <c r="S21" s="267"/>
      <c r="U21" s="263" t="s">
        <v>110</v>
      </c>
      <c r="V21" s="263"/>
      <c r="W21" s="263"/>
      <c r="X21" s="263"/>
      <c r="Y21" s="263"/>
      <c r="Z21" s="263"/>
      <c r="AA21" s="263"/>
      <c r="AB21" s="263"/>
      <c r="AC21" s="263"/>
      <c r="AD21" s="263"/>
      <c r="AE21" s="263"/>
    </row>
    <row r="22" spans="1:35" x14ac:dyDescent="0.25">
      <c r="A22" t="s">
        <v>103</v>
      </c>
      <c r="B22">
        <v>1</v>
      </c>
      <c r="C22">
        <v>1</v>
      </c>
      <c r="D22" t="s">
        <v>100</v>
      </c>
      <c r="E22">
        <v>1</v>
      </c>
      <c r="F22" t="s">
        <v>214</v>
      </c>
      <c r="G22" t="s">
        <v>100</v>
      </c>
      <c r="I22" t="s">
        <v>106</v>
      </c>
      <c r="J22" t="s">
        <v>107</v>
      </c>
      <c r="K22" t="s">
        <v>215</v>
      </c>
      <c r="L22" t="s">
        <v>216</v>
      </c>
      <c r="M22" t="s">
        <v>217</v>
      </c>
      <c r="N22" s="267">
        <f>COUNTBLANK(B22:L22)</f>
        <v>1</v>
      </c>
      <c r="O22" s="267"/>
      <c r="P22" s="267"/>
      <c r="Q22" s="267"/>
      <c r="R22" s="267"/>
      <c r="S22" s="267"/>
      <c r="U22" s="263" t="s">
        <v>111</v>
      </c>
      <c r="V22" s="263"/>
      <c r="W22" s="263"/>
      <c r="X22" s="263"/>
      <c r="Y22" s="263"/>
      <c r="Z22" s="263"/>
      <c r="AA22" s="263"/>
      <c r="AB22" s="263"/>
      <c r="AC22" s="263"/>
      <c r="AD22" s="263"/>
      <c r="AE22" s="24"/>
    </row>
    <row r="23" spans="1:35" x14ac:dyDescent="0.25">
      <c r="A23" t="s">
        <v>104</v>
      </c>
      <c r="B23" s="262" t="s">
        <v>108</v>
      </c>
      <c r="C23" s="262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AI23" t="s">
        <v>433</v>
      </c>
    </row>
  </sheetData>
  <customSheetViews>
    <customSheetView guid="{D6BA57A5-118E-4B58-A351-7E1C36DA5B56}">
      <selection activeCell="Z25" sqref="Z25"/>
      <pageMargins left="0.7" right="0.7" top="0.75" bottom="0.75" header="0.3" footer="0.3"/>
      <pageSetup orientation="portrait" r:id="rId1"/>
    </customSheetView>
    <customSheetView guid="{05B8E57A-BB97-41F0-B6FB-606E79293C77}">
      <selection activeCell="B23" sqref="B23:S23"/>
      <pageMargins left="0.7" right="0.7" top="0.75" bottom="0.75" header="0.3" footer="0.3"/>
      <pageSetup orientation="portrait" r:id="rId2"/>
    </customSheetView>
    <customSheetView guid="{3C013989-8552-4FE1-BB7E-C88994E2D13D}">
      <selection activeCell="Z25" sqref="Z25"/>
      <pageMargins left="0.7" right="0.7" top="0.75" bottom="0.75" header="0.3" footer="0.3"/>
      <pageSetup orientation="portrait" r:id="rId3"/>
    </customSheetView>
    <customSheetView guid="{75B547B5-834C-4784-8C45-4C35B93C736F}">
      <selection activeCell="Z25" sqref="Z25"/>
      <pageMargins left="0.7" right="0.7" top="0.75" bottom="0.75" header="0.3" footer="0.3"/>
      <pageSetup orientation="portrait" r:id="rId4"/>
    </customSheetView>
  </customSheetViews>
  <mergeCells count="8">
    <mergeCell ref="B23:S23"/>
    <mergeCell ref="U20:AE20"/>
    <mergeCell ref="U21:AE21"/>
    <mergeCell ref="U22:AD22"/>
    <mergeCell ref="H2:H16"/>
    <mergeCell ref="N20:S20"/>
    <mergeCell ref="N21:S21"/>
    <mergeCell ref="N22:S22"/>
  </mergeCells>
  <conditionalFormatting sqref="B2:AE2 B3:G10 I3:AE10">
    <cfRule type="cellIs" dxfId="23" priority="3" operator="equal">
      <formula>"L"</formula>
    </cfRule>
    <cfRule type="cellIs" dxfId="22" priority="4" operator="equal">
      <formula>"A"</formula>
    </cfRule>
    <cfRule type="cellIs" dxfId="21" priority="5" operator="equal">
      <formula>"P"</formula>
    </cfRule>
  </conditionalFormatting>
  <conditionalFormatting sqref="AL2:AL16">
    <cfRule type="containsText" dxfId="20" priority="1" operator="containsText" text="Not Eligible">
      <formula>NOT(ISERROR(SEARCH("Not Eligible",AL2)))</formula>
    </cfRule>
    <cfRule type="containsText" dxfId="19" priority="2" operator="containsText" text="Eligible">
      <formula>NOT(ISERROR(SEARCH("Eligible",AL2)))</formula>
    </cfRule>
  </conditionalFormatting>
  <pageMargins left="0.7" right="0.7" top="0.75" bottom="0.75" header="0.3" footer="0.3"/>
  <pageSetup orientation="portrait"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B1:J20"/>
  <sheetViews>
    <sheetView topLeftCell="B1" workbookViewId="0">
      <selection activeCell="J4" sqref="J4"/>
    </sheetView>
  </sheetViews>
  <sheetFormatPr defaultRowHeight="15" x14ac:dyDescent="0.25"/>
  <cols>
    <col min="2" max="2" width="29.42578125" customWidth="1"/>
    <col min="3" max="3" width="20.5703125" customWidth="1"/>
    <col min="4" max="4" width="20.85546875" customWidth="1"/>
    <col min="5" max="5" width="16.5703125" customWidth="1"/>
    <col min="6" max="6" width="1.85546875" customWidth="1"/>
    <col min="7" max="7" width="29.140625" customWidth="1"/>
    <col min="8" max="8" width="23" customWidth="1"/>
    <col min="9" max="9" width="21" customWidth="1"/>
    <col min="10" max="10" width="20" customWidth="1"/>
  </cols>
  <sheetData>
    <row r="1" spans="2:10" ht="21" x14ac:dyDescent="0.35">
      <c r="B1" s="270" t="s">
        <v>119</v>
      </c>
      <c r="C1" s="271"/>
      <c r="D1" s="271"/>
      <c r="E1" s="271"/>
      <c r="G1" s="133" t="s">
        <v>45</v>
      </c>
      <c r="H1" s="133" t="s">
        <v>120</v>
      </c>
      <c r="I1" s="133" t="s">
        <v>121</v>
      </c>
      <c r="J1" s="133" t="s">
        <v>122</v>
      </c>
    </row>
    <row r="2" spans="2:10" ht="15.75" x14ac:dyDescent="0.25">
      <c r="B2" s="25" t="s">
        <v>45</v>
      </c>
      <c r="C2" s="25" t="s">
        <v>120</v>
      </c>
      <c r="D2" s="25" t="s">
        <v>121</v>
      </c>
      <c r="E2" s="25" t="s">
        <v>122</v>
      </c>
      <c r="G2" s="294">
        <v>45943</v>
      </c>
      <c r="H2" s="17">
        <v>20000</v>
      </c>
      <c r="I2" s="17"/>
      <c r="J2" s="17">
        <f>H2</f>
        <v>20000</v>
      </c>
    </row>
    <row r="3" spans="2:10" ht="21" x14ac:dyDescent="0.25">
      <c r="B3" s="11">
        <v>42020</v>
      </c>
      <c r="C3" s="68">
        <v>15000</v>
      </c>
      <c r="D3" s="68"/>
      <c r="E3" s="69">
        <f>C3</f>
        <v>15000</v>
      </c>
      <c r="G3" s="294">
        <v>45944</v>
      </c>
      <c r="H3" s="17"/>
      <c r="I3" s="17"/>
      <c r="J3" s="182">
        <f>J2+H3-I3</f>
        <v>20000</v>
      </c>
    </row>
    <row r="4" spans="2:10" ht="21" x14ac:dyDescent="0.25">
      <c r="B4" s="11">
        <v>42023</v>
      </c>
      <c r="C4" s="12">
        <v>15000</v>
      </c>
      <c r="D4" s="12"/>
      <c r="E4" s="26">
        <f>E3+C4-D4</f>
        <v>30000</v>
      </c>
      <c r="G4" s="294">
        <v>45945</v>
      </c>
      <c r="H4" s="17">
        <v>2000</v>
      </c>
      <c r="I4" s="17"/>
      <c r="J4" s="182">
        <f t="shared" ref="J4:J20" si="0">J3+H4-I4</f>
        <v>22000</v>
      </c>
    </row>
    <row r="5" spans="2:10" ht="21" x14ac:dyDescent="0.25">
      <c r="B5" s="11">
        <v>42024</v>
      </c>
      <c r="C5" s="12">
        <v>60000</v>
      </c>
      <c r="D5" s="12"/>
      <c r="E5" s="26">
        <f t="shared" ref="E5:E19" si="1">E4+C5-D5</f>
        <v>90000</v>
      </c>
      <c r="G5" s="294">
        <v>45946</v>
      </c>
      <c r="H5" s="17"/>
      <c r="I5" s="17">
        <v>1500</v>
      </c>
      <c r="J5" s="182">
        <f t="shared" si="0"/>
        <v>20500</v>
      </c>
    </row>
    <row r="6" spans="2:10" ht="21" x14ac:dyDescent="0.25">
      <c r="B6" s="11">
        <v>42025</v>
      </c>
      <c r="C6" s="12">
        <v>70000</v>
      </c>
      <c r="D6" s="12"/>
      <c r="E6" s="26">
        <f t="shared" si="1"/>
        <v>160000</v>
      </c>
      <c r="G6" s="294">
        <v>45947</v>
      </c>
      <c r="H6" s="17"/>
      <c r="I6" s="17"/>
      <c r="J6" s="182">
        <f t="shared" si="0"/>
        <v>20500</v>
      </c>
    </row>
    <row r="7" spans="2:10" ht="21" x14ac:dyDescent="0.25">
      <c r="B7" s="11">
        <v>42026</v>
      </c>
      <c r="C7" s="12">
        <v>80000</v>
      </c>
      <c r="D7" s="12"/>
      <c r="E7" s="26">
        <f t="shared" si="1"/>
        <v>240000</v>
      </c>
      <c r="G7" s="294">
        <v>45948</v>
      </c>
      <c r="H7" s="17"/>
      <c r="I7" s="17"/>
      <c r="J7" s="182">
        <f t="shared" si="0"/>
        <v>20500</v>
      </c>
    </row>
    <row r="8" spans="2:10" ht="21" x14ac:dyDescent="0.25">
      <c r="B8" s="11">
        <v>42027</v>
      </c>
      <c r="C8" s="12"/>
      <c r="D8" s="12">
        <v>220000</v>
      </c>
      <c r="E8" s="26">
        <f t="shared" si="1"/>
        <v>20000</v>
      </c>
      <c r="G8" s="294">
        <v>45949</v>
      </c>
      <c r="H8" s="17"/>
      <c r="I8" s="17"/>
      <c r="J8" s="182">
        <f t="shared" si="0"/>
        <v>20500</v>
      </c>
    </row>
    <row r="9" spans="2:10" ht="21" x14ac:dyDescent="0.25">
      <c r="B9" s="11">
        <v>42030</v>
      </c>
      <c r="C9" s="12"/>
      <c r="D9" s="12">
        <v>20000</v>
      </c>
      <c r="E9" s="26">
        <f t="shared" si="1"/>
        <v>0</v>
      </c>
      <c r="G9" s="294">
        <v>45950</v>
      </c>
      <c r="H9" s="17"/>
      <c r="I9" s="17"/>
      <c r="J9" s="182">
        <f t="shared" si="0"/>
        <v>20500</v>
      </c>
    </row>
    <row r="10" spans="2:10" ht="21" x14ac:dyDescent="0.25">
      <c r="B10" s="11">
        <v>42031</v>
      </c>
      <c r="C10" s="12"/>
      <c r="D10" s="12"/>
      <c r="E10" s="26">
        <f t="shared" si="1"/>
        <v>0</v>
      </c>
      <c r="G10" s="294">
        <v>45951</v>
      </c>
      <c r="H10" s="17"/>
      <c r="I10" s="17"/>
      <c r="J10" s="182">
        <f t="shared" si="0"/>
        <v>20500</v>
      </c>
    </row>
    <row r="11" spans="2:10" ht="21" x14ac:dyDescent="0.25">
      <c r="B11" s="11">
        <v>42032</v>
      </c>
      <c r="C11" s="12"/>
      <c r="D11" s="12"/>
      <c r="E11" s="26">
        <f t="shared" si="1"/>
        <v>0</v>
      </c>
      <c r="G11" s="294">
        <v>45952</v>
      </c>
      <c r="H11" s="17"/>
      <c r="I11" s="17"/>
      <c r="J11" s="182">
        <f t="shared" si="0"/>
        <v>20500</v>
      </c>
    </row>
    <row r="12" spans="2:10" ht="21" x14ac:dyDescent="0.25">
      <c r="B12" s="11">
        <v>42033</v>
      </c>
      <c r="C12" s="12">
        <v>8000</v>
      </c>
      <c r="D12" s="12"/>
      <c r="E12" s="26">
        <f t="shared" si="1"/>
        <v>8000</v>
      </c>
      <c r="G12" s="294">
        <v>45953</v>
      </c>
      <c r="H12" s="17"/>
      <c r="I12" s="17"/>
      <c r="J12" s="182">
        <f t="shared" si="0"/>
        <v>20500</v>
      </c>
    </row>
    <row r="13" spans="2:10" ht="21" x14ac:dyDescent="0.25">
      <c r="B13" s="11">
        <v>42034</v>
      </c>
      <c r="C13" s="12"/>
      <c r="D13" s="12">
        <v>6000</v>
      </c>
      <c r="E13" s="26">
        <f t="shared" si="1"/>
        <v>2000</v>
      </c>
      <c r="G13" s="294">
        <v>45954</v>
      </c>
      <c r="H13" s="17"/>
      <c r="I13" s="17"/>
      <c r="J13" s="182">
        <f t="shared" si="0"/>
        <v>20500</v>
      </c>
    </row>
    <row r="14" spans="2:10" ht="21" x14ac:dyDescent="0.25">
      <c r="B14" s="11">
        <v>42037</v>
      </c>
      <c r="C14" s="12"/>
      <c r="D14" s="12"/>
      <c r="E14" s="26">
        <f t="shared" si="1"/>
        <v>2000</v>
      </c>
      <c r="G14" s="294">
        <v>45955</v>
      </c>
      <c r="H14" s="17"/>
      <c r="I14" s="17"/>
      <c r="J14" s="182">
        <f t="shared" si="0"/>
        <v>20500</v>
      </c>
    </row>
    <row r="15" spans="2:10" ht="21" x14ac:dyDescent="0.25">
      <c r="B15" s="11">
        <v>42038</v>
      </c>
      <c r="C15" s="12"/>
      <c r="D15" s="12"/>
      <c r="E15" s="26">
        <f t="shared" si="1"/>
        <v>2000</v>
      </c>
      <c r="G15" s="294">
        <v>45956</v>
      </c>
      <c r="H15" s="17"/>
      <c r="I15" s="17"/>
      <c r="J15" s="182">
        <f t="shared" si="0"/>
        <v>20500</v>
      </c>
    </row>
    <row r="16" spans="2:10" ht="21" x14ac:dyDescent="0.25">
      <c r="B16" s="11">
        <v>42039</v>
      </c>
      <c r="C16" s="12"/>
      <c r="D16" s="12"/>
      <c r="E16" s="26">
        <f t="shared" si="1"/>
        <v>2000</v>
      </c>
      <c r="G16" s="294">
        <v>45957</v>
      </c>
      <c r="H16" s="17"/>
      <c r="I16" s="17"/>
      <c r="J16" s="182">
        <f t="shared" si="0"/>
        <v>20500</v>
      </c>
    </row>
    <row r="17" spans="2:10" ht="21" x14ac:dyDescent="0.25">
      <c r="B17" s="11">
        <v>42040</v>
      </c>
      <c r="C17" s="12"/>
      <c r="D17" s="12"/>
      <c r="E17" s="26">
        <f t="shared" si="1"/>
        <v>2000</v>
      </c>
      <c r="G17" s="294">
        <v>45958</v>
      </c>
      <c r="H17" s="17"/>
      <c r="I17" s="17"/>
      <c r="J17" s="182">
        <f t="shared" si="0"/>
        <v>20500</v>
      </c>
    </row>
    <row r="18" spans="2:10" ht="21" x14ac:dyDescent="0.25">
      <c r="B18" s="11">
        <v>42041</v>
      </c>
      <c r="C18" s="12"/>
      <c r="D18" s="12"/>
      <c r="E18" s="26">
        <f t="shared" si="1"/>
        <v>2000</v>
      </c>
      <c r="G18" s="294">
        <v>45959</v>
      </c>
      <c r="H18" s="17"/>
      <c r="I18" s="17"/>
      <c r="J18" s="182">
        <f t="shared" si="0"/>
        <v>20500</v>
      </c>
    </row>
    <row r="19" spans="2:10" ht="21" x14ac:dyDescent="0.25">
      <c r="B19" s="11">
        <v>42044</v>
      </c>
      <c r="C19" s="12"/>
      <c r="D19" s="12"/>
      <c r="E19" s="26">
        <f t="shared" si="1"/>
        <v>2000</v>
      </c>
      <c r="G19" s="294">
        <v>45960</v>
      </c>
      <c r="H19" s="17"/>
      <c r="I19" s="17"/>
      <c r="J19" s="182">
        <f t="shared" si="0"/>
        <v>20500</v>
      </c>
    </row>
    <row r="20" spans="2:10" ht="21" x14ac:dyDescent="0.25">
      <c r="B20" s="27"/>
      <c r="C20" s="268"/>
      <c r="D20" s="269"/>
      <c r="E20" s="28"/>
      <c r="G20" s="294">
        <v>45961</v>
      </c>
      <c r="H20" s="17"/>
      <c r="I20" s="17"/>
      <c r="J20" s="182">
        <f t="shared" si="0"/>
        <v>20500</v>
      </c>
    </row>
  </sheetData>
  <customSheetViews>
    <customSheetView guid="{D6BA57A5-118E-4B58-A351-7E1C36DA5B56}">
      <selection activeCell="C26" sqref="C26"/>
      <pageMargins left="0.7" right="0.7" top="0.75" bottom="0.75" header="0.3" footer="0.3"/>
      <pageSetup orientation="portrait" r:id="rId1"/>
    </customSheetView>
    <customSheetView guid="{05B8E57A-BB97-41F0-B6FB-606E79293C77}" topLeftCell="C1">
      <selection activeCell="G14" sqref="G14"/>
      <pageMargins left="0.7" right="0.7" top="0.75" bottom="0.75" header="0.3" footer="0.3"/>
      <pageSetup orientation="portrait" r:id="rId2"/>
    </customSheetView>
    <customSheetView guid="{3C013989-8552-4FE1-BB7E-C88994E2D13D}">
      <selection activeCell="C26" sqref="C26"/>
      <pageMargins left="0.7" right="0.7" top="0.75" bottom="0.75" header="0.3" footer="0.3"/>
      <pageSetup orientation="portrait" r:id="rId3"/>
    </customSheetView>
    <customSheetView guid="{75B547B5-834C-4784-8C45-4C35B93C736F}">
      <selection activeCell="C26" sqref="C26"/>
      <pageMargins left="0.7" right="0.7" top="0.75" bottom="0.75" header="0.3" footer="0.3"/>
      <pageSetup orientation="portrait" r:id="rId4"/>
    </customSheetView>
  </customSheetViews>
  <mergeCells count="2">
    <mergeCell ref="C20:D20"/>
    <mergeCell ref="B1:E1"/>
  </mergeCells>
  <pageMargins left="0.7" right="0.7" top="0.75" bottom="0.75" header="0.3" footer="0.3"/>
  <pageSetup orientation="portrait"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J16"/>
  <sheetViews>
    <sheetView topLeftCell="E1" zoomScale="145" zoomScaleNormal="145" workbookViewId="0">
      <selection activeCell="J4" sqref="J4"/>
    </sheetView>
  </sheetViews>
  <sheetFormatPr defaultRowHeight="15" x14ac:dyDescent="0.25"/>
  <cols>
    <col min="1" max="1" width="7.7109375" customWidth="1"/>
    <col min="2" max="2" width="11.5703125" customWidth="1"/>
    <col min="3" max="3" width="23.5703125" customWidth="1"/>
    <col min="4" max="4" width="15" customWidth="1"/>
    <col min="7" max="7" width="10.85546875" customWidth="1"/>
    <col min="8" max="8" width="13.5703125" customWidth="1"/>
    <col min="9" max="9" width="25.85546875" customWidth="1"/>
    <col min="10" max="10" width="12" bestFit="1" customWidth="1"/>
  </cols>
  <sheetData>
    <row r="1" spans="1:10" x14ac:dyDescent="0.25">
      <c r="A1" s="272" t="s">
        <v>126</v>
      </c>
      <c r="B1" s="272"/>
      <c r="C1" s="272"/>
      <c r="D1" s="272"/>
      <c r="F1" s="272" t="s">
        <v>130</v>
      </c>
      <c r="G1" s="272"/>
      <c r="H1" s="272"/>
      <c r="I1" s="272"/>
    </row>
    <row r="2" spans="1:10" x14ac:dyDescent="0.25">
      <c r="A2" s="29" t="s">
        <v>50</v>
      </c>
      <c r="B2" s="29" t="s">
        <v>123</v>
      </c>
      <c r="C2" s="29" t="s">
        <v>125</v>
      </c>
      <c r="D2" s="29" t="s">
        <v>124</v>
      </c>
      <c r="F2" s="29" t="s">
        <v>50</v>
      </c>
      <c r="G2" s="29" t="s">
        <v>123</v>
      </c>
      <c r="H2" s="29" t="s">
        <v>125</v>
      </c>
      <c r="I2" s="29" t="s">
        <v>124</v>
      </c>
      <c r="J2" s="29" t="s">
        <v>124</v>
      </c>
    </row>
    <row r="3" spans="1:10" ht="23.25" x14ac:dyDescent="0.35">
      <c r="A3" s="7">
        <v>1001</v>
      </c>
      <c r="B3" s="7" t="s">
        <v>40</v>
      </c>
      <c r="C3" s="7" t="s">
        <v>69</v>
      </c>
      <c r="D3" s="140">
        <f>IF(AND(B3="A",C3="Manager"),150000,70000)</f>
        <v>150000</v>
      </c>
      <c r="F3" s="7">
        <v>101</v>
      </c>
      <c r="G3" s="7" t="s">
        <v>40</v>
      </c>
      <c r="H3" s="7" t="s">
        <v>69</v>
      </c>
      <c r="I3" s="140">
        <f>IF(OR(G3="A",H3="Manager"),150000,80000)</f>
        <v>150000</v>
      </c>
      <c r="J3" s="168">
        <f>IF(AND(G3="A",H3="Manager"),150000,70000)</f>
        <v>150000</v>
      </c>
    </row>
    <row r="4" spans="1:10" ht="21" x14ac:dyDescent="0.25">
      <c r="A4" s="7">
        <v>1002</v>
      </c>
      <c r="B4" s="7" t="s">
        <v>41</v>
      </c>
      <c r="C4" s="7" t="s">
        <v>69</v>
      </c>
      <c r="D4" s="140">
        <f t="shared" ref="D4:D8" si="0">IF(AND(B4="A",C4="Manager"),150000,70000)</f>
        <v>70000</v>
      </c>
      <c r="F4" s="7">
        <v>102</v>
      </c>
      <c r="G4" s="7" t="s">
        <v>40</v>
      </c>
      <c r="H4" s="7" t="s">
        <v>127</v>
      </c>
      <c r="I4" s="140">
        <f>IF(OR(G4="A",H4="Manager"),150000,80000)</f>
        <v>150000</v>
      </c>
      <c r="J4">
        <f>IF(AND(G4="A",H4="Manager"),150000,70000)</f>
        <v>70000</v>
      </c>
    </row>
    <row r="5" spans="1:10" ht="21" x14ac:dyDescent="0.25">
      <c r="A5" s="7">
        <v>1003</v>
      </c>
      <c r="B5" s="7" t="s">
        <v>40</v>
      </c>
      <c r="C5" s="7" t="s">
        <v>69</v>
      </c>
      <c r="D5" s="140">
        <f t="shared" si="0"/>
        <v>150000</v>
      </c>
      <c r="F5" s="7">
        <v>103</v>
      </c>
      <c r="G5" s="7" t="s">
        <v>41</v>
      </c>
      <c r="H5" s="7" t="s">
        <v>74</v>
      </c>
      <c r="I5" s="140">
        <f>IF(OR(G5="A",H5="Manager"),150000,80000)</f>
        <v>80000</v>
      </c>
    </row>
    <row r="6" spans="1:10" ht="21" x14ac:dyDescent="0.25">
      <c r="A6" s="7">
        <v>1004</v>
      </c>
      <c r="B6" s="7" t="s">
        <v>42</v>
      </c>
      <c r="C6" s="7" t="s">
        <v>69</v>
      </c>
      <c r="D6" s="140">
        <f t="shared" si="0"/>
        <v>70000</v>
      </c>
      <c r="F6" s="7">
        <v>104</v>
      </c>
      <c r="G6" s="7" t="s">
        <v>42</v>
      </c>
      <c r="H6" s="7" t="s">
        <v>69</v>
      </c>
      <c r="I6" s="140">
        <f>IF(OR(G6="A",H6="Manager"),150000,80000)</f>
        <v>150000</v>
      </c>
    </row>
    <row r="7" spans="1:10" ht="21" x14ac:dyDescent="0.25">
      <c r="A7" s="7">
        <v>1005</v>
      </c>
      <c r="B7" s="7" t="s">
        <v>43</v>
      </c>
      <c r="C7" s="7" t="s">
        <v>69</v>
      </c>
      <c r="D7" s="140">
        <f t="shared" si="0"/>
        <v>70000</v>
      </c>
      <c r="F7" s="7">
        <v>105</v>
      </c>
      <c r="G7" s="7" t="s">
        <v>42</v>
      </c>
      <c r="H7" s="7" t="s">
        <v>128</v>
      </c>
      <c r="I7" s="7">
        <f t="shared" ref="I4:I16" si="1">IF(OR(G7="A", H7="Manager"), 100000, 50000)</f>
        <v>50000</v>
      </c>
    </row>
    <row r="8" spans="1:10" ht="21" x14ac:dyDescent="0.25">
      <c r="A8" s="7">
        <v>1006</v>
      </c>
      <c r="B8" s="7" t="s">
        <v>40</v>
      </c>
      <c r="C8" s="7" t="s">
        <v>69</v>
      </c>
      <c r="D8" s="140">
        <f t="shared" si="0"/>
        <v>150000</v>
      </c>
      <c r="F8" s="7">
        <v>106</v>
      </c>
      <c r="G8" s="7" t="s">
        <v>41</v>
      </c>
      <c r="H8" s="7" t="s">
        <v>69</v>
      </c>
      <c r="I8" s="7">
        <f t="shared" si="1"/>
        <v>100000</v>
      </c>
    </row>
    <row r="9" spans="1:10" x14ac:dyDescent="0.25">
      <c r="A9" s="7">
        <v>1007</v>
      </c>
      <c r="B9" s="7" t="s">
        <v>44</v>
      </c>
      <c r="C9" s="7" t="s">
        <v>69</v>
      </c>
      <c r="D9" s="7">
        <f t="shared" ref="D9:D16" si="2">IF(AND(B9="A", C9="Manager"), 150000, 65000)</f>
        <v>65000</v>
      </c>
      <c r="F9" s="7">
        <v>107</v>
      </c>
      <c r="G9" s="7" t="s">
        <v>40</v>
      </c>
      <c r="H9" s="7" t="s">
        <v>69</v>
      </c>
      <c r="I9" s="7">
        <f t="shared" si="1"/>
        <v>100000</v>
      </c>
    </row>
    <row r="10" spans="1:10" x14ac:dyDescent="0.25">
      <c r="A10" s="7">
        <v>1008</v>
      </c>
      <c r="B10" s="7" t="s">
        <v>42</v>
      </c>
      <c r="C10" s="7" t="s">
        <v>74</v>
      </c>
      <c r="D10" s="7">
        <f t="shared" si="2"/>
        <v>65000</v>
      </c>
      <c r="F10" s="7">
        <v>108</v>
      </c>
      <c r="G10" s="7" t="s">
        <v>42</v>
      </c>
      <c r="H10" s="7" t="s">
        <v>69</v>
      </c>
      <c r="I10" s="7">
        <f t="shared" si="1"/>
        <v>100000</v>
      </c>
    </row>
    <row r="11" spans="1:10" x14ac:dyDescent="0.25">
      <c r="A11" s="7">
        <v>1009</v>
      </c>
      <c r="B11" s="7" t="s">
        <v>43</v>
      </c>
      <c r="C11" s="7" t="s">
        <v>74</v>
      </c>
      <c r="D11" s="7">
        <f t="shared" si="2"/>
        <v>65000</v>
      </c>
      <c r="F11" s="7">
        <v>109</v>
      </c>
      <c r="G11" s="7" t="s">
        <v>43</v>
      </c>
      <c r="H11" s="7" t="s">
        <v>129</v>
      </c>
      <c r="I11" s="7">
        <f t="shared" si="1"/>
        <v>50000</v>
      </c>
    </row>
    <row r="12" spans="1:10" x14ac:dyDescent="0.25">
      <c r="A12" s="7">
        <v>1010</v>
      </c>
      <c r="B12" s="7" t="s">
        <v>44</v>
      </c>
      <c r="C12" s="7" t="s">
        <v>74</v>
      </c>
      <c r="D12" s="7">
        <f t="shared" si="2"/>
        <v>65000</v>
      </c>
      <c r="F12" s="7">
        <v>110</v>
      </c>
      <c r="G12" s="7" t="s">
        <v>40</v>
      </c>
      <c r="H12" s="7" t="s">
        <v>127</v>
      </c>
      <c r="I12" s="7">
        <f t="shared" si="1"/>
        <v>100000</v>
      </c>
    </row>
    <row r="13" spans="1:10" x14ac:dyDescent="0.25">
      <c r="A13" s="7">
        <v>1011</v>
      </c>
      <c r="B13" s="7" t="s">
        <v>40</v>
      </c>
      <c r="C13" s="7" t="s">
        <v>74</v>
      </c>
      <c r="D13" s="7">
        <f t="shared" si="2"/>
        <v>65000</v>
      </c>
      <c r="F13" s="7">
        <v>111</v>
      </c>
      <c r="G13" s="7" t="s">
        <v>42</v>
      </c>
      <c r="H13" s="7" t="s">
        <v>74</v>
      </c>
      <c r="I13" s="7">
        <f t="shared" si="1"/>
        <v>50000</v>
      </c>
    </row>
    <row r="14" spans="1:10" x14ac:dyDescent="0.25">
      <c r="A14" s="7">
        <v>1012</v>
      </c>
      <c r="B14" s="7" t="s">
        <v>41</v>
      </c>
      <c r="C14" s="7" t="s">
        <v>74</v>
      </c>
      <c r="D14" s="7">
        <f t="shared" si="2"/>
        <v>65000</v>
      </c>
      <c r="F14" s="7">
        <v>112</v>
      </c>
      <c r="G14" s="7" t="s">
        <v>40</v>
      </c>
      <c r="H14" s="7" t="s">
        <v>74</v>
      </c>
      <c r="I14" s="7">
        <f t="shared" si="1"/>
        <v>100000</v>
      </c>
    </row>
    <row r="15" spans="1:10" x14ac:dyDescent="0.25">
      <c r="A15" s="7">
        <v>1013</v>
      </c>
      <c r="B15" s="7" t="s">
        <v>42</v>
      </c>
      <c r="C15" s="7" t="s">
        <v>74</v>
      </c>
      <c r="D15" s="7">
        <f t="shared" si="2"/>
        <v>65000</v>
      </c>
      <c r="F15" s="7">
        <v>113</v>
      </c>
      <c r="G15" s="7" t="s">
        <v>41</v>
      </c>
      <c r="H15" s="7" t="s">
        <v>128</v>
      </c>
      <c r="I15" s="7">
        <f t="shared" si="1"/>
        <v>50000</v>
      </c>
    </row>
    <row r="16" spans="1:10" x14ac:dyDescent="0.25">
      <c r="A16" s="7">
        <v>1014</v>
      </c>
      <c r="B16" s="7" t="s">
        <v>41</v>
      </c>
      <c r="C16" s="7" t="s">
        <v>69</v>
      </c>
      <c r="D16" s="7">
        <f t="shared" si="2"/>
        <v>65000</v>
      </c>
      <c r="F16" s="7">
        <v>114</v>
      </c>
      <c r="G16" s="7" t="s">
        <v>42</v>
      </c>
      <c r="H16" s="7" t="s">
        <v>69</v>
      </c>
      <c r="I16" s="7">
        <f t="shared" si="1"/>
        <v>100000</v>
      </c>
    </row>
  </sheetData>
  <customSheetViews>
    <customSheetView guid="{D6BA57A5-118E-4B58-A351-7E1C36DA5B56}">
      <selection activeCell="I16" sqref="I16"/>
      <pageMargins left="0.7" right="0.7" top="0.75" bottom="0.75" header="0.3" footer="0.3"/>
    </customSheetView>
    <customSheetView guid="{05B8E57A-BB97-41F0-B6FB-606E79293C77}">
      <selection activeCell="G12" sqref="G12"/>
      <pageMargins left="0.7" right="0.7" top="0.75" bottom="0.75" header="0.3" footer="0.3"/>
    </customSheetView>
    <customSheetView guid="{3C013989-8552-4FE1-BB7E-C88994E2D13D}">
      <selection activeCell="I16" sqref="I16"/>
      <pageMargins left="0.7" right="0.7" top="0.75" bottom="0.75" header="0.3" footer="0.3"/>
    </customSheetView>
    <customSheetView guid="{75B547B5-834C-4784-8C45-4C35B93C736F}">
      <selection activeCell="I16" sqref="I16"/>
      <pageMargins left="0.7" right="0.7" top="0.75" bottom="0.75" header="0.3" footer="0.3"/>
    </customSheetView>
  </customSheetViews>
  <mergeCells count="2">
    <mergeCell ref="A1:D1"/>
    <mergeCell ref="F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I47"/>
  <sheetViews>
    <sheetView topLeftCell="A26" zoomScale="115" zoomScaleNormal="115" workbookViewId="0">
      <selection activeCell="D36" sqref="D36"/>
    </sheetView>
  </sheetViews>
  <sheetFormatPr defaultRowHeight="15" x14ac:dyDescent="0.25"/>
  <cols>
    <col min="1" max="1" width="6.85546875" customWidth="1"/>
    <col min="2" max="2" width="15.7109375" customWidth="1"/>
    <col min="3" max="3" width="14.28515625" bestFit="1" customWidth="1"/>
    <col min="8" max="8" width="28.28515625" customWidth="1"/>
  </cols>
  <sheetData>
    <row r="1" spans="1:3" x14ac:dyDescent="0.25">
      <c r="A1" s="273" t="s">
        <v>248</v>
      </c>
      <c r="B1" s="273"/>
      <c r="C1" s="273"/>
    </row>
    <row r="2" spans="1:3" x14ac:dyDescent="0.25">
      <c r="A2" s="273"/>
      <c r="B2" s="273"/>
      <c r="C2" s="273"/>
    </row>
    <row r="3" spans="1:3" x14ac:dyDescent="0.25">
      <c r="A3" s="60">
        <v>1</v>
      </c>
      <c r="B3" s="60" t="s">
        <v>249</v>
      </c>
      <c r="C3" s="61">
        <v>1439323776</v>
      </c>
    </row>
    <row r="4" spans="1:3" x14ac:dyDescent="0.25">
      <c r="A4" s="60">
        <v>2</v>
      </c>
      <c r="B4" s="60" t="s">
        <v>250</v>
      </c>
      <c r="C4" s="61">
        <v>1380004385</v>
      </c>
    </row>
    <row r="5" spans="1:3" x14ac:dyDescent="0.25">
      <c r="A5" s="60">
        <v>3</v>
      </c>
      <c r="B5" s="60" t="s">
        <v>251</v>
      </c>
      <c r="C5" s="61">
        <v>331002651</v>
      </c>
    </row>
    <row r="6" spans="1:3" x14ac:dyDescent="0.25">
      <c r="A6" s="60">
        <v>4</v>
      </c>
      <c r="B6" s="60" t="s">
        <v>252</v>
      </c>
      <c r="C6" s="61">
        <v>273523615</v>
      </c>
    </row>
    <row r="7" spans="1:3" x14ac:dyDescent="0.25">
      <c r="A7" s="60">
        <v>5</v>
      </c>
      <c r="B7" s="60" t="s">
        <v>253</v>
      </c>
      <c r="C7" s="61">
        <v>220892340</v>
      </c>
    </row>
    <row r="8" spans="1:3" x14ac:dyDescent="0.25">
      <c r="A8" s="60">
        <v>6</v>
      </c>
      <c r="B8" s="60" t="s">
        <v>254</v>
      </c>
      <c r="C8" s="61">
        <v>212559417</v>
      </c>
    </row>
    <row r="25" spans="2:7" ht="18.75" customHeight="1" x14ac:dyDescent="0.25"/>
    <row r="26" spans="2:7" x14ac:dyDescent="0.25">
      <c r="B26" t="s">
        <v>375</v>
      </c>
      <c r="C26" s="190" t="s">
        <v>33</v>
      </c>
      <c r="D26" s="190" t="s">
        <v>302</v>
      </c>
      <c r="E26" s="190" t="s">
        <v>303</v>
      </c>
      <c r="F26" s="190" t="s">
        <v>304</v>
      </c>
      <c r="G26" s="190" t="s">
        <v>305</v>
      </c>
    </row>
    <row r="27" spans="2:7" x14ac:dyDescent="0.25">
      <c r="C27" s="190" t="s">
        <v>210</v>
      </c>
      <c r="D27" s="39">
        <v>200</v>
      </c>
      <c r="E27" s="39">
        <v>11</v>
      </c>
      <c r="F27" s="39">
        <v>55</v>
      </c>
      <c r="G27" s="39">
        <v>11</v>
      </c>
    </row>
    <row r="28" spans="2:7" x14ac:dyDescent="0.25">
      <c r="C28" s="190" t="s">
        <v>207</v>
      </c>
      <c r="D28" s="39">
        <v>55</v>
      </c>
      <c r="E28" s="39">
        <v>22</v>
      </c>
      <c r="F28" s="39">
        <v>44</v>
      </c>
      <c r="G28" s="39">
        <v>22</v>
      </c>
    </row>
    <row r="29" spans="2:7" x14ac:dyDescent="0.25">
      <c r="C29" s="190" t="s">
        <v>534</v>
      </c>
      <c r="D29" s="39">
        <v>66</v>
      </c>
      <c r="E29" s="39">
        <v>33</v>
      </c>
      <c r="F29" s="39">
        <v>33</v>
      </c>
      <c r="G29" s="39">
        <v>33</v>
      </c>
    </row>
    <row r="30" spans="2:7" x14ac:dyDescent="0.25">
      <c r="C30" s="190" t="s">
        <v>210</v>
      </c>
      <c r="D30" s="39">
        <v>500</v>
      </c>
      <c r="E30" s="39">
        <v>11</v>
      </c>
      <c r="F30" s="39">
        <v>55</v>
      </c>
      <c r="G30" s="39">
        <v>11</v>
      </c>
    </row>
    <row r="31" spans="2:7" x14ac:dyDescent="0.25">
      <c r="C31" s="190" t="s">
        <v>207</v>
      </c>
      <c r="D31" s="39">
        <v>55</v>
      </c>
      <c r="E31" s="39">
        <v>22</v>
      </c>
      <c r="F31" s="39">
        <v>44</v>
      </c>
      <c r="G31" s="39">
        <v>22</v>
      </c>
    </row>
    <row r="32" spans="2:7" x14ac:dyDescent="0.25">
      <c r="C32" s="190" t="s">
        <v>534</v>
      </c>
      <c r="D32" s="39">
        <v>66</v>
      </c>
      <c r="E32" s="39">
        <v>33</v>
      </c>
      <c r="F32" s="39">
        <v>33</v>
      </c>
      <c r="G32" s="39">
        <v>33</v>
      </c>
    </row>
    <row r="33" spans="3:9" x14ac:dyDescent="0.25">
      <c r="C33" s="190" t="s">
        <v>210</v>
      </c>
      <c r="D33" s="39">
        <v>33</v>
      </c>
      <c r="E33" s="39">
        <v>11</v>
      </c>
      <c r="F33" s="39">
        <v>55</v>
      </c>
      <c r="G33" s="39">
        <v>11</v>
      </c>
    </row>
    <row r="34" spans="3:9" x14ac:dyDescent="0.25">
      <c r="C34" s="190" t="s">
        <v>207</v>
      </c>
      <c r="D34" s="39">
        <v>55</v>
      </c>
      <c r="E34" s="39">
        <v>22</v>
      </c>
      <c r="F34" s="39">
        <v>44</v>
      </c>
      <c r="G34" s="39">
        <v>22</v>
      </c>
    </row>
    <row r="35" spans="3:9" x14ac:dyDescent="0.25">
      <c r="C35" s="190" t="s">
        <v>534</v>
      </c>
      <c r="D35" s="39">
        <v>66</v>
      </c>
      <c r="E35" s="39">
        <v>33</v>
      </c>
      <c r="F35" s="39">
        <v>33</v>
      </c>
      <c r="G35" s="39">
        <v>33</v>
      </c>
    </row>
    <row r="36" spans="3:9" x14ac:dyDescent="0.25">
      <c r="C36" s="190" t="s">
        <v>210</v>
      </c>
      <c r="D36" s="39">
        <v>33</v>
      </c>
      <c r="E36" s="39">
        <v>11</v>
      </c>
      <c r="F36" s="39">
        <v>55</v>
      </c>
      <c r="G36" s="39">
        <v>11</v>
      </c>
    </row>
    <row r="37" spans="3:9" x14ac:dyDescent="0.25">
      <c r="C37" s="190" t="s">
        <v>207</v>
      </c>
      <c r="D37" s="39">
        <v>55</v>
      </c>
      <c r="E37" s="39">
        <v>22</v>
      </c>
      <c r="F37" s="39">
        <v>44</v>
      </c>
      <c r="G37" s="39">
        <v>22</v>
      </c>
    </row>
    <row r="38" spans="3:9" x14ac:dyDescent="0.25">
      <c r="C38" s="190" t="s">
        <v>534</v>
      </c>
      <c r="D38" s="39">
        <v>66</v>
      </c>
      <c r="E38" s="39">
        <v>33</v>
      </c>
      <c r="F38" s="39">
        <v>33</v>
      </c>
      <c r="G38" s="39">
        <v>33</v>
      </c>
    </row>
    <row r="39" spans="3:9" ht="23.25" x14ac:dyDescent="0.35">
      <c r="I39" s="168" t="s">
        <v>536</v>
      </c>
    </row>
    <row r="41" spans="3:9" ht="23.25" x14ac:dyDescent="0.35">
      <c r="H41" t="s">
        <v>535</v>
      </c>
      <c r="I41" s="168" t="s">
        <v>537</v>
      </c>
    </row>
    <row r="44" spans="3:9" x14ac:dyDescent="0.25">
      <c r="C44">
        <f>COUNTA(C27:C38)</f>
        <v>12</v>
      </c>
    </row>
    <row r="45" spans="3:9" x14ac:dyDescent="0.25">
      <c r="C45">
        <f>COUNTIF(C27:C38,"Keyboard")</f>
        <v>4</v>
      </c>
    </row>
    <row r="47" spans="3:9" x14ac:dyDescent="0.25">
      <c r="E47">
        <f>SUMIF(C27:C38,"Keyboard",D27:D38)</f>
        <v>766</v>
      </c>
    </row>
  </sheetData>
  <customSheetViews>
    <customSheetView guid="{D6BA57A5-118E-4B58-A351-7E1C36DA5B56}">
      <selection activeCell="B3" sqref="B3:C8"/>
      <pageMargins left="0.7" right="0.7" top="0.75" bottom="0.75" header="0.3" footer="0.3"/>
    </customSheetView>
    <customSheetView guid="{05B8E57A-BB97-41F0-B6FB-606E79293C77}">
      <selection activeCell="B3" sqref="B3:C8"/>
      <pageMargins left="0.7" right="0.7" top="0.75" bottom="0.75" header="0.3" footer="0.3"/>
      <pageSetup orientation="portrait" r:id="rId1"/>
    </customSheetView>
    <customSheetView guid="{3C013989-8552-4FE1-BB7E-C88994E2D13D}">
      <pageMargins left="0.7" right="0.7" top="0.75" bottom="0.75" header="0.3" footer="0.3"/>
    </customSheetView>
    <customSheetView guid="{75B547B5-834C-4784-8C45-4C35B93C736F}">
      <pageMargins left="0.7" right="0.7" top="0.75" bottom="0.75" header="0.3" footer="0.3"/>
    </customSheetView>
  </customSheetViews>
  <mergeCells count="1">
    <mergeCell ref="A1:C2"/>
  </mergeCells>
  <phoneticPr fontId="33" type="noConversion"/>
  <pageMargins left="0.7" right="0.7" top="0.75" bottom="0.75" header="0.3" footer="0.3"/>
  <pageSetup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M21"/>
  <sheetViews>
    <sheetView zoomScale="85" zoomScaleNormal="85" workbookViewId="0">
      <selection activeCell="G2" sqref="G2"/>
    </sheetView>
  </sheetViews>
  <sheetFormatPr defaultRowHeight="15" x14ac:dyDescent="0.25"/>
  <cols>
    <col min="1" max="1" width="30.42578125" customWidth="1"/>
    <col min="2" max="2" width="28.140625" bestFit="1" customWidth="1"/>
    <col min="3" max="3" width="14.140625" customWidth="1"/>
    <col min="4" max="4" width="27.28515625" bestFit="1" customWidth="1"/>
    <col min="5" max="5" width="13.5703125" bestFit="1" customWidth="1"/>
    <col min="6" max="6" width="28" bestFit="1" customWidth="1"/>
    <col min="7" max="7" width="12.85546875" bestFit="1" customWidth="1"/>
    <col min="8" max="8" width="5.5703125" customWidth="1"/>
    <col min="9" max="9" width="1.42578125" customWidth="1"/>
    <col min="10" max="10" width="0.28515625" customWidth="1"/>
    <col min="11" max="11" width="13.85546875" customWidth="1"/>
  </cols>
  <sheetData>
    <row r="1" spans="1:13" ht="30" x14ac:dyDescent="0.25">
      <c r="A1" s="54" t="s">
        <v>45</v>
      </c>
      <c r="B1" s="54" t="s">
        <v>234</v>
      </c>
      <c r="C1" s="54" t="s">
        <v>236</v>
      </c>
      <c r="D1" s="54" t="s">
        <v>235</v>
      </c>
      <c r="E1" s="73" t="s">
        <v>339</v>
      </c>
      <c r="F1" s="73" t="s">
        <v>340</v>
      </c>
      <c r="G1" s="54" t="s">
        <v>237</v>
      </c>
      <c r="K1" s="70" t="s">
        <v>337</v>
      </c>
      <c r="L1" s="72" t="s">
        <v>235</v>
      </c>
      <c r="M1" s="72" t="s">
        <v>338</v>
      </c>
    </row>
    <row r="2" spans="1:13" ht="21" x14ac:dyDescent="0.25">
      <c r="A2" s="11">
        <v>42227</v>
      </c>
      <c r="B2" s="7" t="s">
        <v>201</v>
      </c>
      <c r="C2" s="7" t="s">
        <v>334</v>
      </c>
      <c r="D2" s="140">
        <f>IFERROR(VLOOKUP($C$2,$K$2:$L$4,2,0),"")</f>
        <v>440000</v>
      </c>
      <c r="E2" s="140">
        <f>IFERROR(D2*7%,"")</f>
        <v>30800.000000000004</v>
      </c>
      <c r="F2" s="140">
        <f>IFERROR(VLOOKUP(C2,$K$2:$M$4,3,0),"")</f>
        <v>1800</v>
      </c>
      <c r="G2" s="140">
        <f>IFERROR(E2+F2,"")</f>
        <v>32600.000000000004</v>
      </c>
      <c r="K2" s="71" t="s">
        <v>334</v>
      </c>
      <c r="L2" s="2">
        <v>440000</v>
      </c>
      <c r="M2" s="2">
        <v>1800</v>
      </c>
    </row>
    <row r="3" spans="1:13" x14ac:dyDescent="0.25">
      <c r="A3" s="11">
        <v>42228</v>
      </c>
      <c r="B3" s="7" t="s">
        <v>202</v>
      </c>
      <c r="C3" s="7" t="s">
        <v>335</v>
      </c>
      <c r="D3" s="7">
        <f t="shared" ref="D3:D13" si="0">IFERROR(VLOOKUP(C3,$K$2:$L$4,2,0),"")</f>
        <v>350000</v>
      </c>
      <c r="E3" s="7">
        <f t="shared" ref="E3:E13" si="1">IFERROR(D3*7%,"")</f>
        <v>24500.000000000004</v>
      </c>
      <c r="F3" s="7">
        <f t="shared" ref="F3:F13" si="2">IFERROR(VLOOKUP(C3,$K$2:$M$4,3,0),"")</f>
        <v>1200</v>
      </c>
      <c r="G3" s="7">
        <f t="shared" ref="G3:G13" si="3">IFERROR(E3+F3,"")</f>
        <v>25700.000000000004</v>
      </c>
      <c r="K3" s="71" t="s">
        <v>335</v>
      </c>
      <c r="L3" s="2">
        <v>350000</v>
      </c>
      <c r="M3" s="2">
        <v>1200</v>
      </c>
    </row>
    <row r="4" spans="1:13" x14ac:dyDescent="0.25">
      <c r="A4" s="11">
        <v>42229</v>
      </c>
      <c r="B4" s="7" t="s">
        <v>238</v>
      </c>
      <c r="C4" s="7" t="s">
        <v>335</v>
      </c>
      <c r="D4" s="7">
        <f t="shared" si="0"/>
        <v>350000</v>
      </c>
      <c r="E4" s="7">
        <f t="shared" si="1"/>
        <v>24500.000000000004</v>
      </c>
      <c r="F4" s="7">
        <f t="shared" si="2"/>
        <v>1200</v>
      </c>
      <c r="G4" s="7">
        <f t="shared" si="3"/>
        <v>25700.000000000004</v>
      </c>
      <c r="K4" s="71" t="s">
        <v>336</v>
      </c>
      <c r="L4" s="2">
        <v>45000</v>
      </c>
      <c r="M4" s="2">
        <v>800</v>
      </c>
    </row>
    <row r="5" spans="1:13" x14ac:dyDescent="0.25">
      <c r="A5" s="11">
        <v>42230</v>
      </c>
      <c r="B5" s="7" t="s">
        <v>238</v>
      </c>
      <c r="C5" s="7" t="s">
        <v>334</v>
      </c>
      <c r="D5" s="7">
        <f t="shared" si="0"/>
        <v>440000</v>
      </c>
      <c r="E5" s="7">
        <f t="shared" si="1"/>
        <v>30800.000000000004</v>
      </c>
      <c r="F5" s="7">
        <f t="shared" si="2"/>
        <v>1800</v>
      </c>
      <c r="G5" s="7">
        <f t="shared" si="3"/>
        <v>32600.000000000004</v>
      </c>
    </row>
    <row r="6" spans="1:13" x14ac:dyDescent="0.25">
      <c r="A6" s="11">
        <v>42231</v>
      </c>
      <c r="B6" s="7" t="s">
        <v>238</v>
      </c>
      <c r="C6" s="7" t="s">
        <v>335</v>
      </c>
      <c r="D6" s="7">
        <f t="shared" si="0"/>
        <v>350000</v>
      </c>
      <c r="E6" s="7">
        <f t="shared" si="1"/>
        <v>24500.000000000004</v>
      </c>
      <c r="F6" s="7">
        <f t="shared" si="2"/>
        <v>1200</v>
      </c>
      <c r="G6" s="7">
        <f t="shared" si="3"/>
        <v>25700.000000000004</v>
      </c>
    </row>
    <row r="7" spans="1:13" x14ac:dyDescent="0.25">
      <c r="A7" s="11">
        <v>42232</v>
      </c>
      <c r="B7" s="7" t="s">
        <v>238</v>
      </c>
      <c r="C7" s="7" t="s">
        <v>334</v>
      </c>
      <c r="D7" s="7">
        <f t="shared" si="0"/>
        <v>440000</v>
      </c>
      <c r="E7" s="7">
        <f t="shared" si="1"/>
        <v>30800.000000000004</v>
      </c>
      <c r="F7" s="7">
        <f t="shared" si="2"/>
        <v>1800</v>
      </c>
      <c r="G7" s="7">
        <f t="shared" si="3"/>
        <v>32600.000000000004</v>
      </c>
    </row>
    <row r="8" spans="1:13" x14ac:dyDescent="0.25">
      <c r="A8" s="11">
        <v>42233</v>
      </c>
      <c r="B8" s="7" t="s">
        <v>201</v>
      </c>
      <c r="C8" s="7" t="s">
        <v>336</v>
      </c>
      <c r="D8" s="7">
        <f t="shared" si="0"/>
        <v>45000</v>
      </c>
      <c r="E8" s="7">
        <f t="shared" si="1"/>
        <v>3150.0000000000005</v>
      </c>
      <c r="F8" s="7">
        <f t="shared" si="2"/>
        <v>800</v>
      </c>
      <c r="G8" s="7">
        <f t="shared" si="3"/>
        <v>3950.0000000000005</v>
      </c>
    </row>
    <row r="9" spans="1:13" x14ac:dyDescent="0.25">
      <c r="A9" s="11">
        <v>42234</v>
      </c>
      <c r="B9" s="7" t="s">
        <v>238</v>
      </c>
      <c r="C9" s="7" t="s">
        <v>335</v>
      </c>
      <c r="D9" s="7">
        <f t="shared" si="0"/>
        <v>350000</v>
      </c>
      <c r="E9" s="7">
        <f t="shared" si="1"/>
        <v>24500.000000000004</v>
      </c>
      <c r="F9" s="7">
        <f t="shared" si="2"/>
        <v>1200</v>
      </c>
      <c r="G9" s="7">
        <f t="shared" si="3"/>
        <v>25700.000000000004</v>
      </c>
    </row>
    <row r="10" spans="1:13" x14ac:dyDescent="0.25">
      <c r="A10" s="11">
        <v>42235</v>
      </c>
      <c r="B10" s="7" t="s">
        <v>201</v>
      </c>
      <c r="C10" s="7"/>
      <c r="D10" s="7" t="str">
        <f t="shared" si="0"/>
        <v/>
      </c>
      <c r="E10" s="7" t="str">
        <f t="shared" si="1"/>
        <v/>
      </c>
      <c r="F10" s="7" t="str">
        <f t="shared" si="2"/>
        <v/>
      </c>
      <c r="G10" s="7" t="str">
        <f t="shared" si="3"/>
        <v/>
      </c>
    </row>
    <row r="11" spans="1:13" x14ac:dyDescent="0.25">
      <c r="A11" s="11">
        <v>42236</v>
      </c>
      <c r="B11" s="7" t="s">
        <v>201</v>
      </c>
      <c r="C11" s="7"/>
      <c r="D11" s="7" t="str">
        <f t="shared" si="0"/>
        <v/>
      </c>
      <c r="E11" s="7" t="str">
        <f t="shared" si="1"/>
        <v/>
      </c>
      <c r="F11" s="7" t="str">
        <f t="shared" si="2"/>
        <v/>
      </c>
      <c r="G11" s="7" t="str">
        <f t="shared" si="3"/>
        <v/>
      </c>
    </row>
    <row r="12" spans="1:13" x14ac:dyDescent="0.25">
      <c r="A12" s="11">
        <v>42237</v>
      </c>
      <c r="B12" s="7" t="s">
        <v>201</v>
      </c>
      <c r="C12" s="7"/>
      <c r="D12" s="7" t="str">
        <f t="shared" si="0"/>
        <v/>
      </c>
      <c r="E12" s="7" t="str">
        <f t="shared" si="1"/>
        <v/>
      </c>
      <c r="F12" s="7" t="str">
        <f t="shared" si="2"/>
        <v/>
      </c>
      <c r="G12" s="7" t="str">
        <f t="shared" si="3"/>
        <v/>
      </c>
    </row>
    <row r="13" spans="1:13" x14ac:dyDescent="0.25">
      <c r="A13" s="11">
        <v>42238</v>
      </c>
      <c r="B13" s="7" t="s">
        <v>202</v>
      </c>
      <c r="C13" s="7"/>
      <c r="D13" s="7" t="str">
        <f t="shared" si="0"/>
        <v/>
      </c>
      <c r="E13" s="7" t="str">
        <f t="shared" si="1"/>
        <v/>
      </c>
      <c r="F13" s="7" t="str">
        <f t="shared" si="2"/>
        <v/>
      </c>
      <c r="G13" s="7" t="str">
        <f t="shared" si="3"/>
        <v/>
      </c>
    </row>
    <row r="14" spans="1:13" x14ac:dyDescent="0.25">
      <c r="A14" s="11">
        <v>42239</v>
      </c>
      <c r="B14" s="7" t="s">
        <v>202</v>
      </c>
      <c r="C14" s="7" t="s">
        <v>336</v>
      </c>
      <c r="D14" s="7">
        <f t="shared" ref="D14" si="4">IFERROR(VLOOKUP(C14, $K$2:$M$4, 2, 0), " ")</f>
        <v>45000</v>
      </c>
      <c r="E14" s="7">
        <f t="shared" ref="E14" si="5">IFERROR(D14*7%, " ")</f>
        <v>3150.0000000000005</v>
      </c>
      <c r="F14" s="7">
        <f t="shared" ref="F14" si="6">IFERROR(VLOOKUP(C14, $K$2:$M$4, 3, 0), " ")</f>
        <v>800</v>
      </c>
      <c r="G14" s="7">
        <f t="shared" ref="G14" si="7">IFERROR(E14+F14, " ")</f>
        <v>3950.0000000000005</v>
      </c>
    </row>
    <row r="18" spans="1:2" x14ac:dyDescent="0.25">
      <c r="A18" s="55" t="s">
        <v>239</v>
      </c>
      <c r="B18" s="55" t="s">
        <v>240</v>
      </c>
    </row>
    <row r="19" spans="1:2" ht="26.25" x14ac:dyDescent="0.25">
      <c r="A19" s="141" t="s">
        <v>201</v>
      </c>
      <c r="B19" s="141">
        <f>SUMIF(B2:B14,"Mehak",F2:F14)</f>
        <v>2600</v>
      </c>
    </row>
    <row r="20" spans="1:2" ht="26.25" x14ac:dyDescent="0.25">
      <c r="A20" s="141" t="s">
        <v>238</v>
      </c>
      <c r="B20" s="141">
        <f>SUMIF(B3:B15,"Sadia",F3:F15)</f>
        <v>7200</v>
      </c>
    </row>
    <row r="21" spans="1:2" ht="26.25" x14ac:dyDescent="0.25">
      <c r="A21" s="141" t="s">
        <v>202</v>
      </c>
      <c r="B21" s="141">
        <f>SUMIF(B4:B16,"Iqra",F4:F16)</f>
        <v>800</v>
      </c>
    </row>
  </sheetData>
  <customSheetViews>
    <customSheetView guid="{D6BA57A5-118E-4B58-A351-7E1C36DA5B56}">
      <selection activeCell="F14" sqref="F14"/>
      <pageMargins left="0.7" right="0.7" top="0.75" bottom="0.75" header="0.3" footer="0.3"/>
      <pageSetup orientation="portrait" horizontalDpi="300" verticalDpi="300" r:id="rId1"/>
    </customSheetView>
    <customSheetView guid="{05B8E57A-BB97-41F0-B6FB-606E79293C77}">
      <selection activeCell="C6" sqref="C6"/>
      <pageMargins left="0.7" right="0.7" top="0.75" bottom="0.75" header="0.3" footer="0.3"/>
      <pageSetup orientation="portrait" horizontalDpi="300" verticalDpi="300" r:id="rId2"/>
    </customSheetView>
    <customSheetView guid="{3C013989-8552-4FE1-BB7E-C88994E2D13D}">
      <selection activeCell="F14" sqref="F14"/>
      <pageMargins left="0.7" right="0.7" top="0.75" bottom="0.75" header="0.3" footer="0.3"/>
      <pageSetup orientation="portrait" horizontalDpi="300" verticalDpi="300" r:id="rId3"/>
    </customSheetView>
    <customSheetView guid="{75B547B5-834C-4784-8C45-4C35B93C736F}">
      <selection activeCell="F14" sqref="F14"/>
      <pageMargins left="0.7" right="0.7" top="0.75" bottom="0.75" header="0.3" footer="0.3"/>
      <pageSetup orientation="portrait" horizontalDpi="300" verticalDpi="300" r:id="rId4"/>
    </customSheetView>
  </customSheetViews>
  <dataValidations count="1">
    <dataValidation type="list" allowBlank="1" showInputMessage="1" showErrorMessage="1" sqref="C2:C14" xr:uid="{00000000-0002-0000-1000-000000000000}">
      <formula1>$K$2:$K$4</formula1>
    </dataValidation>
  </dataValidations>
  <pageMargins left="0.7" right="0.7" top="0.75" bottom="0.75" header="0.3" footer="0.3"/>
  <pageSetup orientation="portrait" horizontalDpi="300" verticalDpi="300"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B19"/>
  <sheetViews>
    <sheetView workbookViewId="0">
      <selection activeCell="I15" sqref="I15"/>
    </sheetView>
  </sheetViews>
  <sheetFormatPr defaultRowHeight="15" x14ac:dyDescent="0.25"/>
  <cols>
    <col min="1" max="1" width="18.140625" customWidth="1"/>
    <col min="2" max="2" width="21.7109375" customWidth="1"/>
  </cols>
  <sheetData>
    <row r="1" spans="1:2" x14ac:dyDescent="0.25">
      <c r="A1" s="273" t="s">
        <v>192</v>
      </c>
      <c r="B1" s="273"/>
    </row>
    <row r="2" spans="1:2" x14ac:dyDescent="0.25">
      <c r="A2" s="62" t="s">
        <v>191</v>
      </c>
      <c r="B2" s="62" t="s">
        <v>34</v>
      </c>
    </row>
    <row r="3" spans="1:2" x14ac:dyDescent="0.25">
      <c r="A3" s="7" t="s">
        <v>255</v>
      </c>
      <c r="B3" s="63">
        <v>65000</v>
      </c>
    </row>
    <row r="4" spans="1:2" x14ac:dyDescent="0.25">
      <c r="A4" s="7" t="s">
        <v>256</v>
      </c>
      <c r="B4" s="63">
        <v>66000</v>
      </c>
    </row>
    <row r="5" spans="1:2" x14ac:dyDescent="0.25">
      <c r="A5" s="7" t="s">
        <v>257</v>
      </c>
      <c r="B5" s="63">
        <v>67000</v>
      </c>
    </row>
    <row r="6" spans="1:2" x14ac:dyDescent="0.25">
      <c r="A6" s="7" t="s">
        <v>258</v>
      </c>
      <c r="B6" s="63">
        <v>68000</v>
      </c>
    </row>
    <row r="7" spans="1:2" x14ac:dyDescent="0.25">
      <c r="A7" s="7" t="s">
        <v>259</v>
      </c>
      <c r="B7" s="63">
        <v>69000</v>
      </c>
    </row>
    <row r="8" spans="1:2" x14ac:dyDescent="0.25">
      <c r="A8" s="7" t="s">
        <v>260</v>
      </c>
      <c r="B8" s="63">
        <v>70000</v>
      </c>
    </row>
    <row r="9" spans="1:2" x14ac:dyDescent="0.25">
      <c r="A9" s="7" t="s">
        <v>261</v>
      </c>
      <c r="B9" s="63">
        <v>71000</v>
      </c>
    </row>
    <row r="10" spans="1:2" x14ac:dyDescent="0.25">
      <c r="A10" s="7" t="s">
        <v>262</v>
      </c>
      <c r="B10" s="63">
        <v>72000</v>
      </c>
    </row>
    <row r="11" spans="1:2" x14ac:dyDescent="0.25">
      <c r="A11" s="7" t="s">
        <v>263</v>
      </c>
      <c r="B11" s="63">
        <v>73000</v>
      </c>
    </row>
    <row r="12" spans="1:2" x14ac:dyDescent="0.25">
      <c r="A12" s="7" t="s">
        <v>264</v>
      </c>
      <c r="B12" s="63">
        <v>74000</v>
      </c>
    </row>
    <row r="13" spans="1:2" x14ac:dyDescent="0.25">
      <c r="A13" s="7" t="s">
        <v>265</v>
      </c>
      <c r="B13" s="63">
        <v>75000</v>
      </c>
    </row>
    <row r="14" spans="1:2" x14ac:dyDescent="0.25">
      <c r="A14" s="7" t="s">
        <v>266</v>
      </c>
      <c r="B14" s="63">
        <v>76000</v>
      </c>
    </row>
    <row r="15" spans="1:2" x14ac:dyDescent="0.25">
      <c r="A15" s="7" t="s">
        <v>267</v>
      </c>
      <c r="B15" s="63">
        <v>77000</v>
      </c>
    </row>
    <row r="16" spans="1:2" x14ac:dyDescent="0.25">
      <c r="A16" s="7" t="s">
        <v>268</v>
      </c>
      <c r="B16" s="63">
        <v>78000</v>
      </c>
    </row>
    <row r="17" spans="1:2" x14ac:dyDescent="0.25">
      <c r="A17" s="7" t="s">
        <v>269</v>
      </c>
      <c r="B17" s="63">
        <v>79000</v>
      </c>
    </row>
    <row r="18" spans="1:2" x14ac:dyDescent="0.25">
      <c r="A18" s="7" t="s">
        <v>270</v>
      </c>
      <c r="B18" s="63">
        <v>80000</v>
      </c>
    </row>
    <row r="19" spans="1:2" x14ac:dyDescent="0.25">
      <c r="A19" s="7" t="s">
        <v>271</v>
      </c>
      <c r="B19" s="63">
        <v>81000</v>
      </c>
    </row>
  </sheetData>
  <customSheetViews>
    <customSheetView guid="{D6BA57A5-118E-4B58-A351-7E1C36DA5B56}">
      <selection activeCell="I27" sqref="I27"/>
      <pageMargins left="0.7" right="0.7" top="0.75" bottom="0.75" header="0.3" footer="0.3"/>
    </customSheetView>
    <customSheetView guid="{05B8E57A-BB97-41F0-B6FB-606E79293C77}">
      <selection activeCell="D12" sqref="D12"/>
      <pageMargins left="0.7" right="0.7" top="0.75" bottom="0.75" header="0.3" footer="0.3"/>
    </customSheetView>
    <customSheetView guid="{3C013989-8552-4FE1-BB7E-C88994E2D13D}">
      <selection activeCell="I27" sqref="I27"/>
      <pageMargins left="0.7" right="0.7" top="0.75" bottom="0.75" header="0.3" footer="0.3"/>
    </customSheetView>
    <customSheetView guid="{75B547B5-834C-4784-8C45-4C35B93C736F}">
      <selection activeCell="I27" sqref="I27"/>
      <pageMargins left="0.7" right="0.7" top="0.75" bottom="0.75" header="0.3" footer="0.3"/>
    </customSheetView>
  </customSheetViews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K216"/>
  <sheetViews>
    <sheetView workbookViewId="0">
      <selection activeCell="J12" sqref="J12"/>
    </sheetView>
  </sheetViews>
  <sheetFormatPr defaultRowHeight="15" x14ac:dyDescent="0.25"/>
  <cols>
    <col min="1" max="1" width="17.7109375" customWidth="1"/>
    <col min="2" max="2" width="18.28515625" customWidth="1"/>
    <col min="7" max="7" width="13.7109375" customWidth="1"/>
    <col min="8" max="8" width="12.42578125" customWidth="1"/>
    <col min="10" max="10" width="17.28515625" customWidth="1"/>
    <col min="11" max="11" width="19.85546875" customWidth="1"/>
  </cols>
  <sheetData>
    <row r="1" spans="1:11" x14ac:dyDescent="0.25">
      <c r="A1" s="27" t="s">
        <v>189</v>
      </c>
      <c r="B1" s="27" t="s">
        <v>190</v>
      </c>
      <c r="G1" s="31" t="s">
        <v>206</v>
      </c>
      <c r="H1" s="31" t="s">
        <v>34</v>
      </c>
      <c r="J1" s="39" t="s">
        <v>207</v>
      </c>
      <c r="K1" s="39">
        <f>SUMIF($G$2:$G$216, "Mouse", $H$2:$H$216)</f>
        <v>1300</v>
      </c>
    </row>
    <row r="2" spans="1:11" x14ac:dyDescent="0.25">
      <c r="A2" s="7" t="s">
        <v>201</v>
      </c>
      <c r="B2" s="7">
        <v>400</v>
      </c>
      <c r="G2" s="2" t="s">
        <v>207</v>
      </c>
      <c r="H2" s="2">
        <v>250</v>
      </c>
      <c r="J2" s="39" t="s">
        <v>210</v>
      </c>
      <c r="K2" s="39">
        <f>SUMIF($G$2:$G$216, "keyboard", $H$2:$H$216)</f>
        <v>1100</v>
      </c>
    </row>
    <row r="3" spans="1:11" x14ac:dyDescent="0.25">
      <c r="A3" s="7" t="s">
        <v>202</v>
      </c>
      <c r="B3" s="7">
        <v>400</v>
      </c>
      <c r="G3" s="2" t="s">
        <v>208</v>
      </c>
      <c r="H3" s="2">
        <v>300</v>
      </c>
      <c r="J3" s="39" t="s">
        <v>209</v>
      </c>
      <c r="K3" s="39">
        <f>SUMIF($G$2:$G$216, "Monitor", $H$2:$H$216)</f>
        <v>2500</v>
      </c>
    </row>
    <row r="4" spans="1:11" x14ac:dyDescent="0.25">
      <c r="A4" s="7" t="s">
        <v>203</v>
      </c>
      <c r="B4" s="7">
        <v>400</v>
      </c>
      <c r="G4" s="2" t="s">
        <v>209</v>
      </c>
      <c r="H4" s="2">
        <v>2500</v>
      </c>
    </row>
    <row r="5" spans="1:11" x14ac:dyDescent="0.25">
      <c r="A5" s="7" t="s">
        <v>204</v>
      </c>
      <c r="B5" s="7">
        <v>400</v>
      </c>
      <c r="G5" s="2" t="s">
        <v>207</v>
      </c>
      <c r="H5" s="2">
        <v>300</v>
      </c>
    </row>
    <row r="6" spans="1:11" x14ac:dyDescent="0.25">
      <c r="A6" s="7" t="s">
        <v>203</v>
      </c>
      <c r="B6" s="7">
        <v>400</v>
      </c>
      <c r="G6" s="2" t="s">
        <v>208</v>
      </c>
      <c r="H6" s="2">
        <v>400</v>
      </c>
    </row>
    <row r="7" spans="1:11" x14ac:dyDescent="0.25">
      <c r="A7" s="7" t="s">
        <v>203</v>
      </c>
      <c r="B7" s="7">
        <v>400</v>
      </c>
      <c r="G7" s="2" t="s">
        <v>207</v>
      </c>
      <c r="H7" s="2">
        <v>350</v>
      </c>
    </row>
    <row r="8" spans="1:11" x14ac:dyDescent="0.25">
      <c r="A8" s="7" t="s">
        <v>204</v>
      </c>
      <c r="B8" s="7">
        <v>400</v>
      </c>
      <c r="G8" s="2" t="s">
        <v>207</v>
      </c>
      <c r="H8" s="2">
        <v>400</v>
      </c>
    </row>
    <row r="9" spans="1:11" x14ac:dyDescent="0.25">
      <c r="A9" s="7" t="s">
        <v>202</v>
      </c>
      <c r="B9" s="7">
        <v>400</v>
      </c>
      <c r="G9" s="2" t="s">
        <v>208</v>
      </c>
      <c r="H9" s="2">
        <v>400</v>
      </c>
    </row>
    <row r="10" spans="1:11" x14ac:dyDescent="0.25">
      <c r="A10" s="7" t="s">
        <v>202</v>
      </c>
      <c r="B10" s="7">
        <v>400</v>
      </c>
      <c r="G10" s="2"/>
      <c r="H10" s="2"/>
    </row>
    <row r="11" spans="1:11" x14ac:dyDescent="0.25">
      <c r="A11" s="7" t="s">
        <v>201</v>
      </c>
      <c r="B11" s="7">
        <v>400</v>
      </c>
      <c r="G11" s="2"/>
      <c r="H11" s="2"/>
    </row>
    <row r="12" spans="1:11" x14ac:dyDescent="0.25">
      <c r="A12" s="7" t="s">
        <v>201</v>
      </c>
      <c r="B12" s="7">
        <v>400</v>
      </c>
      <c r="G12" s="2"/>
      <c r="H12" s="2"/>
    </row>
    <row r="13" spans="1:11" x14ac:dyDescent="0.25">
      <c r="A13" s="7" t="s">
        <v>202</v>
      </c>
      <c r="B13" s="7">
        <v>400</v>
      </c>
      <c r="G13" s="2"/>
      <c r="H13" s="2"/>
    </row>
    <row r="14" spans="1:11" x14ac:dyDescent="0.25">
      <c r="A14" s="7" t="s">
        <v>204</v>
      </c>
      <c r="B14" s="7">
        <v>400</v>
      </c>
      <c r="G14" s="2"/>
      <c r="H14" s="2"/>
    </row>
    <row r="15" spans="1:11" x14ac:dyDescent="0.25">
      <c r="A15" s="7" t="s">
        <v>203</v>
      </c>
      <c r="B15" s="7">
        <v>400</v>
      </c>
      <c r="G15" s="2"/>
      <c r="H15" s="2"/>
    </row>
    <row r="16" spans="1:11" x14ac:dyDescent="0.25">
      <c r="A16" s="7" t="s">
        <v>201</v>
      </c>
      <c r="B16" s="7">
        <v>400</v>
      </c>
      <c r="G16" s="2"/>
      <c r="H16" s="2"/>
    </row>
    <row r="17" spans="1:8" x14ac:dyDescent="0.25">
      <c r="A17" s="7" t="s">
        <v>202</v>
      </c>
      <c r="B17" s="7">
        <v>400</v>
      </c>
      <c r="G17" s="2"/>
      <c r="H17" s="2"/>
    </row>
    <row r="18" spans="1:8" x14ac:dyDescent="0.25">
      <c r="A18" s="7"/>
      <c r="B18" s="7"/>
      <c r="G18" s="2"/>
      <c r="H18" s="2"/>
    </row>
    <row r="19" spans="1:8" x14ac:dyDescent="0.25">
      <c r="A19" s="7"/>
      <c r="B19" s="7"/>
      <c r="G19" s="2"/>
      <c r="H19" s="2"/>
    </row>
    <row r="20" spans="1:8" x14ac:dyDescent="0.25">
      <c r="A20" s="39"/>
      <c r="B20" s="39"/>
      <c r="G20" s="2"/>
      <c r="H20" s="2"/>
    </row>
    <row r="21" spans="1:8" x14ac:dyDescent="0.25">
      <c r="A21" s="27" t="s">
        <v>201</v>
      </c>
      <c r="B21" s="40">
        <f>SUMIF(A2:A20, "Mehak", B2:B20)</f>
        <v>1600</v>
      </c>
      <c r="G21" s="2"/>
      <c r="H21" s="2"/>
    </row>
    <row r="22" spans="1:8" x14ac:dyDescent="0.25">
      <c r="A22" s="27" t="s">
        <v>202</v>
      </c>
      <c r="B22" s="40">
        <f>SUMIF(A2:A20, "Iqra", B2:B20)</f>
        <v>2000</v>
      </c>
      <c r="G22" s="2"/>
      <c r="H22" s="2"/>
    </row>
    <row r="23" spans="1:8" x14ac:dyDescent="0.25">
      <c r="A23" s="27" t="s">
        <v>203</v>
      </c>
      <c r="B23" s="40">
        <f>SUMIF(A2:A20, "nabeela", B2:B20)</f>
        <v>1600</v>
      </c>
      <c r="G23" s="2"/>
      <c r="H23" s="2"/>
    </row>
    <row r="24" spans="1:8" x14ac:dyDescent="0.25">
      <c r="A24" s="27" t="s">
        <v>205</v>
      </c>
      <c r="B24" s="40">
        <f>SUMIF(A2:A20, "Shumaila", B2:B20)</f>
        <v>1200</v>
      </c>
      <c r="G24" s="2"/>
      <c r="H24" s="2"/>
    </row>
    <row r="25" spans="1:8" x14ac:dyDescent="0.25">
      <c r="A25" s="27"/>
      <c r="B25" s="40"/>
      <c r="G25" s="2"/>
      <c r="H25" s="2"/>
    </row>
    <row r="26" spans="1:8" x14ac:dyDescent="0.25">
      <c r="A26" s="27"/>
      <c r="B26" s="40"/>
      <c r="G26" s="2"/>
      <c r="H26" s="2"/>
    </row>
    <row r="27" spans="1:8" x14ac:dyDescent="0.25">
      <c r="G27" s="2"/>
      <c r="H27" s="2"/>
    </row>
    <row r="28" spans="1:8" x14ac:dyDescent="0.25">
      <c r="G28" s="2"/>
      <c r="H28" s="2"/>
    </row>
    <row r="29" spans="1:8" x14ac:dyDescent="0.25">
      <c r="G29" s="2"/>
      <c r="H29" s="2"/>
    </row>
    <row r="30" spans="1:8" x14ac:dyDescent="0.25">
      <c r="G30" s="2"/>
      <c r="H30" s="2"/>
    </row>
    <row r="31" spans="1:8" x14ac:dyDescent="0.25">
      <c r="G31" s="2"/>
      <c r="H31" s="2"/>
    </row>
    <row r="32" spans="1:8" x14ac:dyDescent="0.25">
      <c r="G32" s="2"/>
      <c r="H32" s="2"/>
    </row>
    <row r="33" spans="7:8" x14ac:dyDescent="0.25">
      <c r="G33" s="2"/>
      <c r="H33" s="2"/>
    </row>
    <row r="34" spans="7:8" x14ac:dyDescent="0.25">
      <c r="G34" s="2"/>
      <c r="H34" s="2"/>
    </row>
    <row r="35" spans="7:8" x14ac:dyDescent="0.25">
      <c r="G35" s="2"/>
      <c r="H35" s="2"/>
    </row>
    <row r="36" spans="7:8" x14ac:dyDescent="0.25">
      <c r="G36" s="2"/>
      <c r="H36" s="2"/>
    </row>
    <row r="37" spans="7:8" x14ac:dyDescent="0.25">
      <c r="G37" s="2"/>
      <c r="H37" s="2"/>
    </row>
    <row r="38" spans="7:8" x14ac:dyDescent="0.25">
      <c r="G38" s="2"/>
      <c r="H38" s="2"/>
    </row>
    <row r="39" spans="7:8" x14ac:dyDescent="0.25">
      <c r="G39" s="2"/>
      <c r="H39" s="2"/>
    </row>
    <row r="40" spans="7:8" x14ac:dyDescent="0.25">
      <c r="G40" s="2"/>
      <c r="H40" s="2"/>
    </row>
    <row r="41" spans="7:8" x14ac:dyDescent="0.25">
      <c r="G41" s="2"/>
      <c r="H41" s="2"/>
    </row>
    <row r="42" spans="7:8" x14ac:dyDescent="0.25">
      <c r="G42" s="2"/>
      <c r="H42" s="2"/>
    </row>
    <row r="43" spans="7:8" x14ac:dyDescent="0.25">
      <c r="G43" s="2"/>
      <c r="H43" s="2"/>
    </row>
    <row r="44" spans="7:8" x14ac:dyDescent="0.25">
      <c r="G44" s="2"/>
      <c r="H44" s="2"/>
    </row>
    <row r="45" spans="7:8" x14ac:dyDescent="0.25">
      <c r="G45" s="2"/>
      <c r="H45" s="2"/>
    </row>
    <row r="46" spans="7:8" x14ac:dyDescent="0.25">
      <c r="G46" s="2"/>
      <c r="H46" s="2"/>
    </row>
    <row r="47" spans="7:8" x14ac:dyDescent="0.25">
      <c r="G47" s="2"/>
      <c r="H47" s="2"/>
    </row>
    <row r="48" spans="7:8" x14ac:dyDescent="0.25">
      <c r="G48" s="2"/>
      <c r="H48" s="2"/>
    </row>
    <row r="49" spans="7:8" x14ac:dyDescent="0.25">
      <c r="G49" s="2"/>
      <c r="H49" s="2"/>
    </row>
    <row r="50" spans="7:8" x14ac:dyDescent="0.25">
      <c r="G50" s="2"/>
      <c r="H50" s="2"/>
    </row>
    <row r="51" spans="7:8" x14ac:dyDescent="0.25">
      <c r="G51" s="2"/>
      <c r="H51" s="2"/>
    </row>
    <row r="52" spans="7:8" x14ac:dyDescent="0.25">
      <c r="G52" s="2"/>
      <c r="H52" s="2"/>
    </row>
    <row r="53" spans="7:8" x14ac:dyDescent="0.25">
      <c r="G53" s="2"/>
      <c r="H53" s="2"/>
    </row>
    <row r="54" spans="7:8" x14ac:dyDescent="0.25">
      <c r="G54" s="2"/>
      <c r="H54" s="2"/>
    </row>
    <row r="55" spans="7:8" x14ac:dyDescent="0.25">
      <c r="G55" s="2"/>
      <c r="H55" s="2"/>
    </row>
    <row r="56" spans="7:8" x14ac:dyDescent="0.25">
      <c r="G56" s="2"/>
      <c r="H56" s="2"/>
    </row>
    <row r="57" spans="7:8" x14ac:dyDescent="0.25">
      <c r="G57" s="2"/>
      <c r="H57" s="2"/>
    </row>
    <row r="58" spans="7:8" x14ac:dyDescent="0.25">
      <c r="G58" s="2"/>
      <c r="H58" s="2"/>
    </row>
    <row r="59" spans="7:8" x14ac:dyDescent="0.25">
      <c r="G59" s="2"/>
      <c r="H59" s="2"/>
    </row>
    <row r="60" spans="7:8" x14ac:dyDescent="0.25">
      <c r="G60" s="2"/>
      <c r="H60" s="2"/>
    </row>
    <row r="61" spans="7:8" x14ac:dyDescent="0.25">
      <c r="G61" s="2"/>
      <c r="H61" s="2"/>
    </row>
    <row r="62" spans="7:8" x14ac:dyDescent="0.25">
      <c r="G62" s="2"/>
      <c r="H62" s="2"/>
    </row>
    <row r="63" spans="7:8" x14ac:dyDescent="0.25">
      <c r="G63" s="2"/>
      <c r="H63" s="2"/>
    </row>
    <row r="64" spans="7:8" x14ac:dyDescent="0.25">
      <c r="G64" s="2"/>
      <c r="H64" s="2"/>
    </row>
    <row r="65" spans="7:8" x14ac:dyDescent="0.25">
      <c r="G65" s="2"/>
      <c r="H65" s="2"/>
    </row>
    <row r="66" spans="7:8" x14ac:dyDescent="0.25">
      <c r="G66" s="2"/>
      <c r="H66" s="2"/>
    </row>
    <row r="67" spans="7:8" x14ac:dyDescent="0.25">
      <c r="G67" s="2"/>
      <c r="H67" s="2"/>
    </row>
    <row r="68" spans="7:8" x14ac:dyDescent="0.25">
      <c r="G68" s="2"/>
      <c r="H68" s="2"/>
    </row>
    <row r="69" spans="7:8" x14ac:dyDescent="0.25">
      <c r="G69" s="2"/>
      <c r="H69" s="2"/>
    </row>
    <row r="70" spans="7:8" x14ac:dyDescent="0.25">
      <c r="G70" s="2"/>
      <c r="H70" s="2"/>
    </row>
    <row r="71" spans="7:8" x14ac:dyDescent="0.25">
      <c r="G71" s="2"/>
      <c r="H71" s="2"/>
    </row>
    <row r="72" spans="7:8" x14ac:dyDescent="0.25">
      <c r="G72" s="2"/>
      <c r="H72" s="2"/>
    </row>
    <row r="73" spans="7:8" x14ac:dyDescent="0.25">
      <c r="G73" s="2"/>
      <c r="H73" s="2"/>
    </row>
    <row r="74" spans="7:8" x14ac:dyDescent="0.25">
      <c r="G74" s="2"/>
      <c r="H74" s="2"/>
    </row>
    <row r="75" spans="7:8" x14ac:dyDescent="0.25">
      <c r="G75" s="2"/>
      <c r="H75" s="2"/>
    </row>
    <row r="76" spans="7:8" x14ac:dyDescent="0.25">
      <c r="G76" s="2"/>
      <c r="H76" s="2"/>
    </row>
    <row r="77" spans="7:8" x14ac:dyDescent="0.25">
      <c r="G77" s="2"/>
      <c r="H77" s="2"/>
    </row>
    <row r="78" spans="7:8" x14ac:dyDescent="0.25">
      <c r="G78" s="2"/>
      <c r="H78" s="2"/>
    </row>
    <row r="79" spans="7:8" x14ac:dyDescent="0.25">
      <c r="G79" s="2"/>
      <c r="H79" s="2"/>
    </row>
    <row r="80" spans="7:8" x14ac:dyDescent="0.25">
      <c r="G80" s="2"/>
      <c r="H80" s="2"/>
    </row>
    <row r="81" spans="7:8" x14ac:dyDescent="0.25">
      <c r="G81" s="2"/>
      <c r="H81" s="2"/>
    </row>
    <row r="82" spans="7:8" x14ac:dyDescent="0.25">
      <c r="G82" s="2"/>
      <c r="H82" s="2"/>
    </row>
    <row r="83" spans="7:8" x14ac:dyDescent="0.25">
      <c r="G83" s="2"/>
      <c r="H83" s="2"/>
    </row>
    <row r="84" spans="7:8" x14ac:dyDescent="0.25">
      <c r="G84" s="2"/>
      <c r="H84" s="2"/>
    </row>
    <row r="85" spans="7:8" x14ac:dyDescent="0.25">
      <c r="G85" s="2"/>
      <c r="H85" s="2"/>
    </row>
    <row r="86" spans="7:8" x14ac:dyDescent="0.25">
      <c r="G86" s="2"/>
      <c r="H86" s="2"/>
    </row>
    <row r="87" spans="7:8" x14ac:dyDescent="0.25">
      <c r="G87" s="2"/>
      <c r="H87" s="2"/>
    </row>
    <row r="88" spans="7:8" x14ac:dyDescent="0.25">
      <c r="G88" s="2"/>
      <c r="H88" s="2"/>
    </row>
    <row r="89" spans="7:8" x14ac:dyDescent="0.25">
      <c r="G89" s="2"/>
      <c r="H89" s="2"/>
    </row>
    <row r="90" spans="7:8" x14ac:dyDescent="0.25">
      <c r="G90" s="2"/>
      <c r="H90" s="2"/>
    </row>
    <row r="91" spans="7:8" x14ac:dyDescent="0.25">
      <c r="G91" s="2"/>
      <c r="H91" s="2"/>
    </row>
    <row r="92" spans="7:8" x14ac:dyDescent="0.25">
      <c r="G92" s="2"/>
      <c r="H92" s="2"/>
    </row>
    <row r="93" spans="7:8" x14ac:dyDescent="0.25">
      <c r="G93" s="2"/>
      <c r="H93" s="2"/>
    </row>
    <row r="94" spans="7:8" x14ac:dyDescent="0.25">
      <c r="G94" s="2"/>
      <c r="H94" s="2"/>
    </row>
    <row r="95" spans="7:8" x14ac:dyDescent="0.25">
      <c r="G95" s="2"/>
      <c r="H95" s="2"/>
    </row>
    <row r="96" spans="7:8" x14ac:dyDescent="0.25">
      <c r="G96" s="2"/>
      <c r="H96" s="2"/>
    </row>
    <row r="97" spans="7:8" x14ac:dyDescent="0.25">
      <c r="G97" s="2"/>
      <c r="H97" s="2"/>
    </row>
    <row r="98" spans="7:8" x14ac:dyDescent="0.25">
      <c r="G98" s="2"/>
      <c r="H98" s="2"/>
    </row>
    <row r="99" spans="7:8" x14ac:dyDescent="0.25">
      <c r="G99" s="2"/>
      <c r="H99" s="2"/>
    </row>
    <row r="100" spans="7:8" x14ac:dyDescent="0.25">
      <c r="G100" s="2"/>
      <c r="H100" s="2"/>
    </row>
    <row r="101" spans="7:8" x14ac:dyDescent="0.25">
      <c r="G101" s="2"/>
      <c r="H101" s="2"/>
    </row>
    <row r="102" spans="7:8" x14ac:dyDescent="0.25">
      <c r="G102" s="2"/>
      <c r="H102" s="2"/>
    </row>
    <row r="103" spans="7:8" x14ac:dyDescent="0.25">
      <c r="G103" s="2"/>
      <c r="H103" s="2"/>
    </row>
    <row r="104" spans="7:8" x14ac:dyDescent="0.25">
      <c r="G104" s="2"/>
      <c r="H104" s="2"/>
    </row>
    <row r="105" spans="7:8" x14ac:dyDescent="0.25">
      <c r="G105" s="2"/>
      <c r="H105" s="2"/>
    </row>
    <row r="106" spans="7:8" x14ac:dyDescent="0.25">
      <c r="G106" s="2"/>
      <c r="H106" s="2"/>
    </row>
    <row r="107" spans="7:8" x14ac:dyDescent="0.25">
      <c r="G107" s="2"/>
      <c r="H107" s="2"/>
    </row>
    <row r="108" spans="7:8" x14ac:dyDescent="0.25">
      <c r="G108" s="2"/>
      <c r="H108" s="2"/>
    </row>
    <row r="109" spans="7:8" x14ac:dyDescent="0.25">
      <c r="G109" s="2"/>
      <c r="H109" s="2"/>
    </row>
    <row r="110" spans="7:8" x14ac:dyDescent="0.25">
      <c r="G110" s="2"/>
      <c r="H110" s="2"/>
    </row>
    <row r="111" spans="7:8" x14ac:dyDescent="0.25">
      <c r="G111" s="2"/>
      <c r="H111" s="2"/>
    </row>
    <row r="112" spans="7:8" x14ac:dyDescent="0.25">
      <c r="G112" s="2"/>
      <c r="H112" s="2"/>
    </row>
    <row r="113" spans="7:8" x14ac:dyDescent="0.25">
      <c r="G113" s="2"/>
      <c r="H113" s="2"/>
    </row>
    <row r="114" spans="7:8" x14ac:dyDescent="0.25">
      <c r="G114" s="2"/>
      <c r="H114" s="2"/>
    </row>
    <row r="115" spans="7:8" x14ac:dyDescent="0.25">
      <c r="G115" s="2"/>
      <c r="H115" s="2"/>
    </row>
    <row r="116" spans="7:8" x14ac:dyDescent="0.25">
      <c r="G116" s="2"/>
      <c r="H116" s="2"/>
    </row>
    <row r="117" spans="7:8" x14ac:dyDescent="0.25">
      <c r="G117" s="2"/>
      <c r="H117" s="2"/>
    </row>
    <row r="118" spans="7:8" x14ac:dyDescent="0.25">
      <c r="G118" s="2"/>
      <c r="H118" s="2"/>
    </row>
    <row r="119" spans="7:8" x14ac:dyDescent="0.25">
      <c r="G119" s="2"/>
      <c r="H119" s="2"/>
    </row>
    <row r="120" spans="7:8" x14ac:dyDescent="0.25">
      <c r="G120" s="2"/>
      <c r="H120" s="2"/>
    </row>
    <row r="121" spans="7:8" x14ac:dyDescent="0.25">
      <c r="G121" s="2"/>
      <c r="H121" s="2"/>
    </row>
    <row r="122" spans="7:8" x14ac:dyDescent="0.25">
      <c r="G122" s="2"/>
      <c r="H122" s="2"/>
    </row>
    <row r="123" spans="7:8" x14ac:dyDescent="0.25">
      <c r="G123" s="2"/>
      <c r="H123" s="2"/>
    </row>
    <row r="124" spans="7:8" x14ac:dyDescent="0.25">
      <c r="G124" s="2"/>
      <c r="H124" s="2"/>
    </row>
    <row r="125" spans="7:8" x14ac:dyDescent="0.25">
      <c r="G125" s="2"/>
      <c r="H125" s="2"/>
    </row>
    <row r="126" spans="7:8" x14ac:dyDescent="0.25">
      <c r="G126" s="2"/>
      <c r="H126" s="2"/>
    </row>
    <row r="127" spans="7:8" x14ac:dyDescent="0.25">
      <c r="G127" s="2"/>
      <c r="H127" s="2"/>
    </row>
    <row r="128" spans="7:8" x14ac:dyDescent="0.25">
      <c r="G128" s="2"/>
      <c r="H128" s="2"/>
    </row>
    <row r="129" spans="7:8" x14ac:dyDescent="0.25">
      <c r="G129" s="2"/>
      <c r="H129" s="2"/>
    </row>
    <row r="130" spans="7:8" x14ac:dyDescent="0.25">
      <c r="G130" s="2"/>
      <c r="H130" s="2"/>
    </row>
    <row r="131" spans="7:8" x14ac:dyDescent="0.25">
      <c r="G131" s="2"/>
      <c r="H131" s="2"/>
    </row>
    <row r="132" spans="7:8" x14ac:dyDescent="0.25">
      <c r="G132" s="2"/>
      <c r="H132" s="2"/>
    </row>
    <row r="133" spans="7:8" x14ac:dyDescent="0.25">
      <c r="G133" s="2"/>
      <c r="H133" s="2"/>
    </row>
    <row r="134" spans="7:8" x14ac:dyDescent="0.25">
      <c r="G134" s="2"/>
      <c r="H134" s="2"/>
    </row>
    <row r="135" spans="7:8" x14ac:dyDescent="0.25">
      <c r="G135" s="2"/>
      <c r="H135" s="2"/>
    </row>
    <row r="136" spans="7:8" x14ac:dyDescent="0.25">
      <c r="G136" s="2"/>
      <c r="H136" s="2"/>
    </row>
    <row r="137" spans="7:8" x14ac:dyDescent="0.25">
      <c r="G137" s="2"/>
      <c r="H137" s="2"/>
    </row>
    <row r="138" spans="7:8" x14ac:dyDescent="0.25">
      <c r="G138" s="2"/>
      <c r="H138" s="2"/>
    </row>
    <row r="139" spans="7:8" x14ac:dyDescent="0.25">
      <c r="G139" s="2"/>
      <c r="H139" s="2"/>
    </row>
    <row r="140" spans="7:8" x14ac:dyDescent="0.25">
      <c r="G140" s="2"/>
      <c r="H140" s="2"/>
    </row>
    <row r="141" spans="7:8" x14ac:dyDescent="0.25">
      <c r="G141" s="2"/>
      <c r="H141" s="2"/>
    </row>
    <row r="142" spans="7:8" x14ac:dyDescent="0.25">
      <c r="G142" s="2"/>
      <c r="H142" s="2"/>
    </row>
    <row r="143" spans="7:8" x14ac:dyDescent="0.25">
      <c r="G143" s="2"/>
      <c r="H143" s="2"/>
    </row>
    <row r="144" spans="7:8" x14ac:dyDescent="0.25">
      <c r="G144" s="2"/>
      <c r="H144" s="2"/>
    </row>
    <row r="145" spans="7:8" x14ac:dyDescent="0.25">
      <c r="G145" s="2"/>
      <c r="H145" s="2"/>
    </row>
    <row r="146" spans="7:8" x14ac:dyDescent="0.25">
      <c r="G146" s="2"/>
      <c r="H146" s="2"/>
    </row>
    <row r="147" spans="7:8" x14ac:dyDescent="0.25">
      <c r="G147" s="2"/>
      <c r="H147" s="2"/>
    </row>
    <row r="148" spans="7:8" x14ac:dyDescent="0.25">
      <c r="G148" s="2"/>
      <c r="H148" s="2"/>
    </row>
    <row r="149" spans="7:8" x14ac:dyDescent="0.25">
      <c r="G149" s="2"/>
      <c r="H149" s="2"/>
    </row>
    <row r="150" spans="7:8" x14ac:dyDescent="0.25">
      <c r="G150" s="2"/>
      <c r="H150" s="2"/>
    </row>
    <row r="151" spans="7:8" x14ac:dyDescent="0.25">
      <c r="G151" s="2"/>
      <c r="H151" s="2"/>
    </row>
    <row r="152" spans="7:8" x14ac:dyDescent="0.25">
      <c r="G152" s="2"/>
      <c r="H152" s="2"/>
    </row>
    <row r="153" spans="7:8" x14ac:dyDescent="0.25">
      <c r="G153" s="2"/>
      <c r="H153" s="2"/>
    </row>
    <row r="154" spans="7:8" x14ac:dyDescent="0.25">
      <c r="G154" s="2"/>
      <c r="H154" s="2"/>
    </row>
    <row r="155" spans="7:8" x14ac:dyDescent="0.25">
      <c r="G155" s="2"/>
      <c r="H155" s="2"/>
    </row>
    <row r="156" spans="7:8" x14ac:dyDescent="0.25">
      <c r="G156" s="2"/>
      <c r="H156" s="2"/>
    </row>
    <row r="157" spans="7:8" x14ac:dyDescent="0.25">
      <c r="G157" s="2"/>
      <c r="H157" s="2"/>
    </row>
    <row r="158" spans="7:8" x14ac:dyDescent="0.25">
      <c r="G158" s="2"/>
      <c r="H158" s="2"/>
    </row>
    <row r="159" spans="7:8" x14ac:dyDescent="0.25">
      <c r="G159" s="2"/>
      <c r="H159" s="2"/>
    </row>
    <row r="160" spans="7:8" x14ac:dyDescent="0.25">
      <c r="G160" s="2"/>
      <c r="H160" s="2"/>
    </row>
    <row r="161" spans="7:8" x14ac:dyDescent="0.25">
      <c r="G161" s="2"/>
      <c r="H161" s="2"/>
    </row>
    <row r="162" spans="7:8" x14ac:dyDescent="0.25">
      <c r="G162" s="2"/>
      <c r="H162" s="2"/>
    </row>
    <row r="163" spans="7:8" x14ac:dyDescent="0.25">
      <c r="G163" s="2"/>
      <c r="H163" s="2"/>
    </row>
    <row r="164" spans="7:8" x14ac:dyDescent="0.25">
      <c r="G164" s="2"/>
      <c r="H164" s="2"/>
    </row>
    <row r="165" spans="7:8" x14ac:dyDescent="0.25">
      <c r="G165" s="2"/>
      <c r="H165" s="2"/>
    </row>
    <row r="166" spans="7:8" x14ac:dyDescent="0.25">
      <c r="G166" s="2"/>
      <c r="H166" s="2"/>
    </row>
    <row r="167" spans="7:8" x14ac:dyDescent="0.25">
      <c r="G167" s="2"/>
      <c r="H167" s="2"/>
    </row>
    <row r="168" spans="7:8" x14ac:dyDescent="0.25">
      <c r="G168" s="2"/>
      <c r="H168" s="2"/>
    </row>
    <row r="169" spans="7:8" x14ac:dyDescent="0.25">
      <c r="G169" s="2"/>
      <c r="H169" s="2"/>
    </row>
    <row r="170" spans="7:8" x14ac:dyDescent="0.25">
      <c r="G170" s="2"/>
      <c r="H170" s="2"/>
    </row>
    <row r="171" spans="7:8" x14ac:dyDescent="0.25">
      <c r="G171" s="2"/>
      <c r="H171" s="2"/>
    </row>
    <row r="172" spans="7:8" x14ac:dyDescent="0.25">
      <c r="G172" s="2"/>
      <c r="H172" s="2"/>
    </row>
    <row r="173" spans="7:8" x14ac:dyDescent="0.25">
      <c r="G173" s="2"/>
      <c r="H173" s="2"/>
    </row>
    <row r="174" spans="7:8" x14ac:dyDescent="0.25">
      <c r="G174" s="2"/>
      <c r="H174" s="2"/>
    </row>
    <row r="175" spans="7:8" x14ac:dyDescent="0.25">
      <c r="G175" s="2"/>
      <c r="H175" s="2"/>
    </row>
    <row r="176" spans="7:8" x14ac:dyDescent="0.25">
      <c r="G176" s="2"/>
      <c r="H176" s="2"/>
    </row>
    <row r="177" spans="7:8" x14ac:dyDescent="0.25">
      <c r="G177" s="2"/>
      <c r="H177" s="2"/>
    </row>
    <row r="178" spans="7:8" x14ac:dyDescent="0.25">
      <c r="G178" s="2"/>
      <c r="H178" s="2"/>
    </row>
    <row r="179" spans="7:8" x14ac:dyDescent="0.25">
      <c r="G179" s="2"/>
      <c r="H179" s="2"/>
    </row>
    <row r="180" spans="7:8" x14ac:dyDescent="0.25">
      <c r="G180" s="2"/>
      <c r="H180" s="2"/>
    </row>
    <row r="181" spans="7:8" x14ac:dyDescent="0.25">
      <c r="G181" s="2"/>
      <c r="H181" s="2"/>
    </row>
    <row r="182" spans="7:8" x14ac:dyDescent="0.25">
      <c r="G182" s="2"/>
      <c r="H182" s="2"/>
    </row>
    <row r="183" spans="7:8" x14ac:dyDescent="0.25">
      <c r="G183" s="2"/>
      <c r="H183" s="2"/>
    </row>
    <row r="184" spans="7:8" x14ac:dyDescent="0.25">
      <c r="G184" s="2"/>
      <c r="H184" s="2"/>
    </row>
    <row r="185" spans="7:8" x14ac:dyDescent="0.25">
      <c r="G185" s="2"/>
      <c r="H185" s="2"/>
    </row>
    <row r="186" spans="7:8" x14ac:dyDescent="0.25">
      <c r="G186" s="2"/>
      <c r="H186" s="2"/>
    </row>
    <row r="187" spans="7:8" x14ac:dyDescent="0.25">
      <c r="G187" s="2"/>
      <c r="H187" s="2"/>
    </row>
    <row r="188" spans="7:8" x14ac:dyDescent="0.25">
      <c r="G188" s="2"/>
      <c r="H188" s="2"/>
    </row>
    <row r="189" spans="7:8" x14ac:dyDescent="0.25">
      <c r="G189" s="2"/>
      <c r="H189" s="2"/>
    </row>
    <row r="190" spans="7:8" x14ac:dyDescent="0.25">
      <c r="G190" s="2"/>
      <c r="H190" s="2"/>
    </row>
    <row r="191" spans="7:8" x14ac:dyDescent="0.25">
      <c r="G191" s="2"/>
      <c r="H191" s="2"/>
    </row>
    <row r="192" spans="7:8" x14ac:dyDescent="0.25">
      <c r="G192" s="2"/>
      <c r="H192" s="2"/>
    </row>
    <row r="193" spans="7:8" x14ac:dyDescent="0.25">
      <c r="G193" s="2"/>
      <c r="H193" s="2"/>
    </row>
    <row r="194" spans="7:8" x14ac:dyDescent="0.25">
      <c r="G194" s="2"/>
      <c r="H194" s="2"/>
    </row>
    <row r="195" spans="7:8" x14ac:dyDescent="0.25">
      <c r="G195" s="2"/>
      <c r="H195" s="2"/>
    </row>
    <row r="196" spans="7:8" x14ac:dyDescent="0.25">
      <c r="G196" s="2"/>
      <c r="H196" s="2"/>
    </row>
    <row r="197" spans="7:8" x14ac:dyDescent="0.25">
      <c r="G197" s="2"/>
      <c r="H197" s="2"/>
    </row>
    <row r="198" spans="7:8" x14ac:dyDescent="0.25">
      <c r="G198" s="2"/>
      <c r="H198" s="2"/>
    </row>
    <row r="199" spans="7:8" x14ac:dyDescent="0.25">
      <c r="G199" s="2"/>
      <c r="H199" s="2"/>
    </row>
    <row r="200" spans="7:8" x14ac:dyDescent="0.25">
      <c r="G200" s="2"/>
      <c r="H200" s="2"/>
    </row>
    <row r="201" spans="7:8" x14ac:dyDescent="0.25">
      <c r="G201" s="2"/>
      <c r="H201" s="2"/>
    </row>
    <row r="202" spans="7:8" x14ac:dyDescent="0.25">
      <c r="G202" s="2"/>
      <c r="H202" s="2"/>
    </row>
    <row r="203" spans="7:8" x14ac:dyDescent="0.25">
      <c r="G203" s="2"/>
      <c r="H203" s="2"/>
    </row>
    <row r="204" spans="7:8" x14ac:dyDescent="0.25">
      <c r="G204" s="2"/>
      <c r="H204" s="2"/>
    </row>
    <row r="205" spans="7:8" x14ac:dyDescent="0.25">
      <c r="G205" s="2"/>
      <c r="H205" s="2"/>
    </row>
    <row r="206" spans="7:8" x14ac:dyDescent="0.25">
      <c r="G206" s="2"/>
      <c r="H206" s="2"/>
    </row>
    <row r="207" spans="7:8" x14ac:dyDescent="0.25">
      <c r="G207" s="2"/>
      <c r="H207" s="2"/>
    </row>
    <row r="208" spans="7:8" x14ac:dyDescent="0.25">
      <c r="G208" s="2"/>
      <c r="H208" s="2"/>
    </row>
    <row r="209" spans="7:8" x14ac:dyDescent="0.25">
      <c r="G209" s="2"/>
      <c r="H209" s="2"/>
    </row>
    <row r="210" spans="7:8" x14ac:dyDescent="0.25">
      <c r="G210" s="2"/>
      <c r="H210" s="2"/>
    </row>
    <row r="211" spans="7:8" x14ac:dyDescent="0.25">
      <c r="G211" s="2"/>
      <c r="H211" s="2"/>
    </row>
    <row r="212" spans="7:8" x14ac:dyDescent="0.25">
      <c r="G212" s="2"/>
      <c r="H212" s="2"/>
    </row>
    <row r="213" spans="7:8" x14ac:dyDescent="0.25">
      <c r="G213" s="2"/>
      <c r="H213" s="2"/>
    </row>
    <row r="214" spans="7:8" x14ac:dyDescent="0.25">
      <c r="G214" s="2"/>
      <c r="H214" s="2"/>
    </row>
    <row r="215" spans="7:8" x14ac:dyDescent="0.25">
      <c r="G215" s="2"/>
      <c r="H215" s="2"/>
    </row>
    <row r="216" spans="7:8" x14ac:dyDescent="0.25">
      <c r="G216" s="2"/>
      <c r="H216" s="2"/>
    </row>
  </sheetData>
  <customSheetViews>
    <customSheetView guid="{D6BA57A5-118E-4B58-A351-7E1C36DA5B56}">
      <selection activeCell="K1" sqref="K1"/>
      <pageMargins left="0.7" right="0.7" top="0.75" bottom="0.75" header="0.3" footer="0.3"/>
    </customSheetView>
    <customSheetView guid="{05B8E57A-BB97-41F0-B6FB-606E79293C77}">
      <selection activeCell="B24" sqref="B24"/>
      <pageMargins left="0.7" right="0.7" top="0.75" bottom="0.75" header="0.3" footer="0.3"/>
    </customSheetView>
    <customSheetView guid="{3C013989-8552-4FE1-BB7E-C88994E2D13D}">
      <selection activeCell="K1" sqref="K1"/>
      <pageMargins left="0.7" right="0.7" top="0.75" bottom="0.75" header="0.3" footer="0.3"/>
    </customSheetView>
    <customSheetView guid="{75B547B5-834C-4784-8C45-4C35B93C736F}">
      <selection activeCell="K1" sqref="K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40"/>
  <sheetViews>
    <sheetView zoomScale="115" zoomScaleNormal="115" workbookViewId="0">
      <selection activeCell="E11" sqref="E11"/>
    </sheetView>
  </sheetViews>
  <sheetFormatPr defaultRowHeight="15" x14ac:dyDescent="0.25"/>
  <cols>
    <col min="1" max="1" width="3.7109375" customWidth="1"/>
    <col min="2" max="2" width="4.140625" customWidth="1"/>
    <col min="3" max="3" width="5.28515625" customWidth="1"/>
    <col min="4" max="4" width="3.42578125" customWidth="1"/>
    <col min="5" max="5" width="6.7109375" customWidth="1"/>
    <col min="6" max="6" width="6.140625" customWidth="1"/>
    <col min="7" max="7" width="4.28515625" customWidth="1"/>
    <col min="8" max="8" width="6.28515625" customWidth="1"/>
    <col min="9" max="9" width="7.28515625" customWidth="1"/>
    <col min="10" max="10" width="13.5703125" bestFit="1" customWidth="1"/>
    <col min="11" max="11" width="6.42578125" bestFit="1" customWidth="1"/>
    <col min="12" max="12" width="20.85546875" customWidth="1"/>
    <col min="13" max="13" width="8.85546875" customWidth="1"/>
    <col min="14" max="14" width="9.28515625" bestFit="1" customWidth="1"/>
  </cols>
  <sheetData>
    <row r="1" spans="1:14" x14ac:dyDescent="0.25">
      <c r="A1" s="274" t="s">
        <v>404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</row>
    <row r="2" spans="1:14" x14ac:dyDescent="0.25">
      <c r="A2" s="274"/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</row>
    <row r="3" spans="1:14" ht="14.25" customHeight="1" x14ac:dyDescent="0.25">
      <c r="A3" s="274"/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</row>
    <row r="4" spans="1:14" hidden="1" x14ac:dyDescent="0.25">
      <c r="A4" s="274"/>
      <c r="B4" s="274"/>
      <c r="C4" s="274"/>
      <c r="D4" s="274"/>
      <c r="E4" s="274"/>
      <c r="F4" s="274"/>
      <c r="G4" s="274"/>
      <c r="H4" s="274"/>
      <c r="I4" s="274"/>
      <c r="J4" s="274"/>
      <c r="K4" s="274"/>
      <c r="L4" s="274"/>
      <c r="M4" t="s">
        <v>405</v>
      </c>
      <c r="N4" s="51">
        <v>42615</v>
      </c>
    </row>
    <row r="5" spans="1:14" hidden="1" x14ac:dyDescent="0.25">
      <c r="A5" s="274"/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</row>
    <row r="6" spans="1:14" hidden="1" x14ac:dyDescent="0.25">
      <c r="A6" s="274"/>
      <c r="B6" s="274"/>
      <c r="C6" s="274"/>
      <c r="D6" s="274"/>
      <c r="E6" s="274"/>
      <c r="F6" s="274"/>
      <c r="G6" s="274"/>
      <c r="H6" s="274"/>
      <c r="I6" s="274"/>
      <c r="J6" s="274"/>
      <c r="K6" s="274"/>
      <c r="L6" s="274"/>
    </row>
    <row r="7" spans="1:14" ht="48" x14ac:dyDescent="0.25">
      <c r="A7" s="192" t="s">
        <v>221</v>
      </c>
      <c r="B7" s="192" t="s">
        <v>223</v>
      </c>
      <c r="C7" s="193" t="s">
        <v>406</v>
      </c>
      <c r="D7" s="193" t="s">
        <v>407</v>
      </c>
      <c r="E7" s="193" t="s">
        <v>408</v>
      </c>
      <c r="F7" s="193" t="s">
        <v>409</v>
      </c>
      <c r="G7" s="193" t="s">
        <v>410</v>
      </c>
      <c r="H7" s="193" t="s">
        <v>37</v>
      </c>
      <c r="I7" s="193" t="s">
        <v>225</v>
      </c>
      <c r="J7" s="193" t="s">
        <v>226</v>
      </c>
      <c r="K7" s="193" t="s">
        <v>411</v>
      </c>
      <c r="L7" s="193" t="s">
        <v>9</v>
      </c>
    </row>
    <row r="8" spans="1:14" ht="23.25" x14ac:dyDescent="0.25">
      <c r="A8" s="7">
        <v>2500</v>
      </c>
      <c r="B8" s="11">
        <v>45877</v>
      </c>
      <c r="C8" s="7">
        <v>600</v>
      </c>
      <c r="D8" s="7">
        <v>780</v>
      </c>
      <c r="E8" s="123">
        <f>D8-C8</f>
        <v>180</v>
      </c>
      <c r="F8" s="191">
        <f>E8*9</f>
        <v>1620</v>
      </c>
      <c r="G8" s="65">
        <v>50</v>
      </c>
      <c r="H8" s="125">
        <f>F8+G8</f>
        <v>1670</v>
      </c>
      <c r="I8" s="126">
        <f>H8*15%</f>
        <v>250.5</v>
      </c>
      <c r="J8" s="123">
        <f>IF(B8&gt;=duedate,H8*5%,0)</f>
        <v>83.5</v>
      </c>
      <c r="K8" s="124">
        <f>H8+I8+J8</f>
        <v>2004</v>
      </c>
      <c r="L8" s="127" t="str">
        <f>IF(K8=0,"Pay Your Bill","Thank You")</f>
        <v>Thank You</v>
      </c>
    </row>
    <row r="9" spans="1:14" x14ac:dyDescent="0.25">
      <c r="A9" s="7">
        <v>1002</v>
      </c>
      <c r="B9" s="122">
        <v>42613</v>
      </c>
      <c r="C9" s="7">
        <v>1200</v>
      </c>
      <c r="D9" s="7">
        <v>1520</v>
      </c>
      <c r="E9" s="123">
        <f t="shared" ref="E9:E21" si="0">D9-C9</f>
        <v>320</v>
      </c>
      <c r="F9" s="124">
        <f t="shared" ref="F9:F21" si="1">E9*8</f>
        <v>2560</v>
      </c>
      <c r="G9" s="65">
        <v>60</v>
      </c>
      <c r="H9" s="125">
        <f t="shared" ref="H9:H21" si="2">F9+G9</f>
        <v>2620</v>
      </c>
      <c r="I9" s="126">
        <f t="shared" ref="I9:I21" si="3">H9*17%</f>
        <v>445.40000000000003</v>
      </c>
      <c r="J9" s="123">
        <f t="shared" ref="J9:J21" si="4">IF(B9&gt;duedate, H9*5%, 0)</f>
        <v>0</v>
      </c>
      <c r="K9" s="124">
        <f t="shared" ref="K9:K21" si="5">H9+I9+J9</f>
        <v>3065.4</v>
      </c>
      <c r="L9" s="127" t="str">
        <f t="shared" ref="L9:L21" si="6">IF(K9&gt;15000, "Pay Your Bill", "Thank You")</f>
        <v>Thank You</v>
      </c>
      <c r="N9" t="s">
        <v>412</v>
      </c>
    </row>
    <row r="10" spans="1:14" x14ac:dyDescent="0.25">
      <c r="A10" s="7">
        <v>1003</v>
      </c>
      <c r="B10" s="122">
        <v>42614</v>
      </c>
      <c r="C10" s="7">
        <v>1300</v>
      </c>
      <c r="D10" s="7">
        <v>3500</v>
      </c>
      <c r="E10" s="123">
        <f t="shared" si="0"/>
        <v>2200</v>
      </c>
      <c r="F10" s="124">
        <f t="shared" si="1"/>
        <v>17600</v>
      </c>
      <c r="G10" s="65">
        <v>60</v>
      </c>
      <c r="H10" s="125">
        <f t="shared" si="2"/>
        <v>17660</v>
      </c>
      <c r="I10" s="126">
        <f t="shared" si="3"/>
        <v>3002.2000000000003</v>
      </c>
      <c r="J10" s="123">
        <f t="shared" si="4"/>
        <v>0</v>
      </c>
      <c r="K10" s="124">
        <f t="shared" si="5"/>
        <v>20662.2</v>
      </c>
      <c r="L10" s="127" t="str">
        <f t="shared" si="6"/>
        <v>Pay Your Bill</v>
      </c>
    </row>
    <row r="11" spans="1:14" x14ac:dyDescent="0.25">
      <c r="A11" s="7">
        <v>1004</v>
      </c>
      <c r="B11" s="122">
        <v>42615</v>
      </c>
      <c r="C11" s="7">
        <v>500</v>
      </c>
      <c r="D11" s="7">
        <v>750</v>
      </c>
      <c r="E11" s="123">
        <f t="shared" si="0"/>
        <v>250</v>
      </c>
      <c r="F11" s="124">
        <f t="shared" si="1"/>
        <v>2000</v>
      </c>
      <c r="G11" s="65">
        <v>60</v>
      </c>
      <c r="H11" s="125">
        <f t="shared" si="2"/>
        <v>2060</v>
      </c>
      <c r="I11" s="126">
        <f t="shared" si="3"/>
        <v>350.20000000000005</v>
      </c>
      <c r="J11" s="123">
        <f t="shared" si="4"/>
        <v>0</v>
      </c>
      <c r="K11" s="124">
        <f t="shared" si="5"/>
        <v>2410.1999999999998</v>
      </c>
      <c r="L11" s="127" t="str">
        <f t="shared" si="6"/>
        <v>Thank You</v>
      </c>
    </row>
    <row r="12" spans="1:14" x14ac:dyDescent="0.25">
      <c r="A12" s="7">
        <v>1005</v>
      </c>
      <c r="B12" s="122">
        <v>42616</v>
      </c>
      <c r="C12" s="7">
        <v>800</v>
      </c>
      <c r="D12" s="7">
        <v>980</v>
      </c>
      <c r="E12" s="123">
        <f t="shared" si="0"/>
        <v>180</v>
      </c>
      <c r="F12" s="124">
        <f t="shared" si="1"/>
        <v>1440</v>
      </c>
      <c r="G12" s="65">
        <v>60</v>
      </c>
      <c r="H12" s="125">
        <f t="shared" si="2"/>
        <v>1500</v>
      </c>
      <c r="I12" s="126">
        <f t="shared" si="3"/>
        <v>255.00000000000003</v>
      </c>
      <c r="J12" s="123">
        <f t="shared" si="4"/>
        <v>0</v>
      </c>
      <c r="K12" s="124">
        <f t="shared" si="5"/>
        <v>1755</v>
      </c>
      <c r="L12" s="127" t="str">
        <f t="shared" si="6"/>
        <v>Thank You</v>
      </c>
    </row>
    <row r="13" spans="1:14" x14ac:dyDescent="0.25">
      <c r="A13" s="7">
        <v>1006</v>
      </c>
      <c r="B13" s="122">
        <v>42617</v>
      </c>
      <c r="C13" s="7">
        <v>0</v>
      </c>
      <c r="D13" s="7">
        <v>2500</v>
      </c>
      <c r="E13" s="123">
        <f t="shared" si="0"/>
        <v>2500</v>
      </c>
      <c r="F13" s="124">
        <f t="shared" si="1"/>
        <v>20000</v>
      </c>
      <c r="G13" s="65">
        <v>60</v>
      </c>
      <c r="H13" s="125">
        <f t="shared" si="2"/>
        <v>20060</v>
      </c>
      <c r="I13" s="126">
        <f t="shared" si="3"/>
        <v>3410.2000000000003</v>
      </c>
      <c r="J13" s="123">
        <f t="shared" si="4"/>
        <v>0</v>
      </c>
      <c r="K13" s="124">
        <f t="shared" si="5"/>
        <v>23470.2</v>
      </c>
      <c r="L13" s="127" t="str">
        <f t="shared" si="6"/>
        <v>Pay Your Bill</v>
      </c>
    </row>
    <row r="14" spans="1:14" x14ac:dyDescent="0.25">
      <c r="A14" s="7">
        <v>1007</v>
      </c>
      <c r="B14" s="122"/>
      <c r="C14" s="7"/>
      <c r="D14" s="7"/>
      <c r="E14" s="123">
        <f t="shared" si="0"/>
        <v>0</v>
      </c>
      <c r="F14" s="124">
        <f t="shared" si="1"/>
        <v>0</v>
      </c>
      <c r="G14" s="65">
        <v>60</v>
      </c>
      <c r="H14" s="125">
        <f t="shared" si="2"/>
        <v>60</v>
      </c>
      <c r="I14" s="126">
        <f t="shared" si="3"/>
        <v>10.200000000000001</v>
      </c>
      <c r="J14" s="123">
        <f t="shared" si="4"/>
        <v>0</v>
      </c>
      <c r="K14" s="124">
        <f t="shared" si="5"/>
        <v>70.2</v>
      </c>
      <c r="L14" s="127" t="str">
        <f t="shared" si="6"/>
        <v>Thank You</v>
      </c>
    </row>
    <row r="15" spans="1:14" x14ac:dyDescent="0.25">
      <c r="A15" s="7">
        <v>1008</v>
      </c>
      <c r="B15" s="122"/>
      <c r="C15" s="7"/>
      <c r="D15" s="7"/>
      <c r="E15" s="123">
        <f t="shared" si="0"/>
        <v>0</v>
      </c>
      <c r="F15" s="124">
        <f t="shared" si="1"/>
        <v>0</v>
      </c>
      <c r="G15" s="65">
        <v>60</v>
      </c>
      <c r="H15" s="125">
        <f t="shared" si="2"/>
        <v>60</v>
      </c>
      <c r="I15" s="126">
        <f t="shared" si="3"/>
        <v>10.200000000000001</v>
      </c>
      <c r="J15" s="123">
        <f t="shared" si="4"/>
        <v>0</v>
      </c>
      <c r="K15" s="124">
        <f t="shared" si="5"/>
        <v>70.2</v>
      </c>
      <c r="L15" s="127" t="str">
        <f t="shared" si="6"/>
        <v>Thank You</v>
      </c>
    </row>
    <row r="16" spans="1:14" x14ac:dyDescent="0.25">
      <c r="A16" s="7">
        <v>1009</v>
      </c>
      <c r="B16" s="122"/>
      <c r="C16" s="7"/>
      <c r="D16" s="7"/>
      <c r="E16" s="123">
        <f t="shared" si="0"/>
        <v>0</v>
      </c>
      <c r="F16" s="124">
        <f t="shared" si="1"/>
        <v>0</v>
      </c>
      <c r="G16" s="65">
        <v>60</v>
      </c>
      <c r="H16" s="125">
        <f t="shared" si="2"/>
        <v>60</v>
      </c>
      <c r="I16" s="126">
        <f t="shared" si="3"/>
        <v>10.200000000000001</v>
      </c>
      <c r="J16" s="123">
        <f t="shared" si="4"/>
        <v>0</v>
      </c>
      <c r="K16" s="124">
        <f t="shared" si="5"/>
        <v>70.2</v>
      </c>
      <c r="L16" s="127" t="str">
        <f t="shared" si="6"/>
        <v>Thank You</v>
      </c>
    </row>
    <row r="17" spans="1:12" x14ac:dyDescent="0.25">
      <c r="A17" s="7">
        <v>1010</v>
      </c>
      <c r="B17" s="122"/>
      <c r="C17" s="7"/>
      <c r="D17" s="7"/>
      <c r="E17" s="123">
        <f t="shared" si="0"/>
        <v>0</v>
      </c>
      <c r="F17" s="124">
        <f t="shared" si="1"/>
        <v>0</v>
      </c>
      <c r="G17" s="65">
        <v>60</v>
      </c>
      <c r="H17" s="125">
        <f t="shared" si="2"/>
        <v>60</v>
      </c>
      <c r="I17" s="126">
        <f t="shared" si="3"/>
        <v>10.200000000000001</v>
      </c>
      <c r="J17" s="123">
        <f t="shared" si="4"/>
        <v>0</v>
      </c>
      <c r="K17" s="124">
        <f t="shared" si="5"/>
        <v>70.2</v>
      </c>
      <c r="L17" s="127" t="str">
        <f t="shared" si="6"/>
        <v>Thank You</v>
      </c>
    </row>
    <row r="18" spans="1:12" x14ac:dyDescent="0.25">
      <c r="A18" s="7">
        <v>1011</v>
      </c>
      <c r="B18" s="122"/>
      <c r="C18" s="7"/>
      <c r="D18" s="7"/>
      <c r="E18" s="123">
        <f t="shared" si="0"/>
        <v>0</v>
      </c>
      <c r="F18" s="124">
        <f t="shared" si="1"/>
        <v>0</v>
      </c>
      <c r="G18" s="65">
        <v>60</v>
      </c>
      <c r="H18" s="125">
        <f t="shared" si="2"/>
        <v>60</v>
      </c>
      <c r="I18" s="126">
        <f t="shared" si="3"/>
        <v>10.200000000000001</v>
      </c>
      <c r="J18" s="123">
        <f t="shared" si="4"/>
        <v>0</v>
      </c>
      <c r="K18" s="124">
        <f t="shared" si="5"/>
        <v>70.2</v>
      </c>
      <c r="L18" s="127" t="str">
        <f t="shared" si="6"/>
        <v>Thank You</v>
      </c>
    </row>
    <row r="19" spans="1:12" x14ac:dyDescent="0.25">
      <c r="A19" s="7">
        <v>1012</v>
      </c>
      <c r="B19" s="122"/>
      <c r="C19" s="7"/>
      <c r="D19" s="7"/>
      <c r="E19" s="123">
        <f t="shared" si="0"/>
        <v>0</v>
      </c>
      <c r="F19" s="124">
        <f t="shared" si="1"/>
        <v>0</v>
      </c>
      <c r="G19" s="65">
        <v>60</v>
      </c>
      <c r="H19" s="125">
        <f t="shared" si="2"/>
        <v>60</v>
      </c>
      <c r="I19" s="126">
        <f t="shared" si="3"/>
        <v>10.200000000000001</v>
      </c>
      <c r="J19" s="123">
        <f t="shared" si="4"/>
        <v>0</v>
      </c>
      <c r="K19" s="124">
        <f t="shared" si="5"/>
        <v>70.2</v>
      </c>
      <c r="L19" s="127" t="str">
        <f t="shared" si="6"/>
        <v>Thank You</v>
      </c>
    </row>
    <row r="20" spans="1:12" x14ac:dyDescent="0.25">
      <c r="A20" s="7">
        <v>1013</v>
      </c>
      <c r="B20" s="122"/>
      <c r="C20" s="7"/>
      <c r="D20" s="7"/>
      <c r="E20" s="123">
        <f t="shared" si="0"/>
        <v>0</v>
      </c>
      <c r="F20" s="124">
        <f t="shared" si="1"/>
        <v>0</v>
      </c>
      <c r="G20" s="65">
        <v>60</v>
      </c>
      <c r="H20" s="125">
        <f t="shared" si="2"/>
        <v>60</v>
      </c>
      <c r="I20" s="126">
        <f t="shared" si="3"/>
        <v>10.200000000000001</v>
      </c>
      <c r="J20" s="123">
        <f t="shared" si="4"/>
        <v>0</v>
      </c>
      <c r="K20" s="124">
        <f t="shared" si="5"/>
        <v>70.2</v>
      </c>
      <c r="L20" s="127" t="str">
        <f t="shared" si="6"/>
        <v>Thank You</v>
      </c>
    </row>
    <row r="21" spans="1:12" x14ac:dyDescent="0.25">
      <c r="A21" s="7">
        <v>1014</v>
      </c>
      <c r="B21" s="122"/>
      <c r="C21" s="7"/>
      <c r="D21" s="7"/>
      <c r="E21" s="123">
        <f t="shared" si="0"/>
        <v>0</v>
      </c>
      <c r="F21" s="124">
        <f t="shared" si="1"/>
        <v>0</v>
      </c>
      <c r="G21" s="65">
        <v>60</v>
      </c>
      <c r="H21" s="125">
        <f t="shared" si="2"/>
        <v>60</v>
      </c>
      <c r="I21" s="126">
        <f t="shared" si="3"/>
        <v>10.200000000000001</v>
      </c>
      <c r="J21" s="123">
        <f t="shared" si="4"/>
        <v>0</v>
      </c>
      <c r="K21" s="124">
        <f t="shared" si="5"/>
        <v>70.2</v>
      </c>
      <c r="L21" s="127" t="str">
        <f t="shared" si="6"/>
        <v>Thank You</v>
      </c>
    </row>
    <row r="25" spans="1:12" x14ac:dyDescent="0.25">
      <c r="A25" s="128" t="s">
        <v>413</v>
      </c>
      <c r="B25" s="129">
        <v>45877</v>
      </c>
    </row>
    <row r="40" spans="1:12" ht="120" x14ac:dyDescent="0.25">
      <c r="A40" t="s">
        <v>221</v>
      </c>
      <c r="B40" t="s">
        <v>223</v>
      </c>
      <c r="C40" s="34" t="s">
        <v>414</v>
      </c>
      <c r="D40" s="34" t="s">
        <v>415</v>
      </c>
      <c r="E40" s="34" t="s">
        <v>416</v>
      </c>
      <c r="F40" s="34" t="s">
        <v>417</v>
      </c>
      <c r="G40" s="34" t="s">
        <v>418</v>
      </c>
      <c r="H40" s="34" t="s">
        <v>419</v>
      </c>
      <c r="I40" s="34" t="s">
        <v>225</v>
      </c>
      <c r="J40" s="34" t="s">
        <v>37</v>
      </c>
      <c r="K40" s="34" t="s">
        <v>226</v>
      </c>
      <c r="L40" s="34" t="s">
        <v>411</v>
      </c>
    </row>
  </sheetData>
  <mergeCells count="1">
    <mergeCell ref="A1:L6"/>
  </mergeCells>
  <conditionalFormatting sqref="L8:L21">
    <cfRule type="containsText" dxfId="18" priority="1" operator="containsText" text="Pay Your Bill">
      <formula>NOT(ISERROR(SEARCH("Pay Your Bill",L8)))</formula>
    </cfRule>
    <cfRule type="containsText" dxfId="17" priority="2" operator="containsText" text="Thank You">
      <formula>NOT(ISERROR(SEARCH("Thank You",L8)))</formula>
    </cfRule>
    <cfRule type="cellIs" dxfId="16" priority="3" operator="equal">
      <formula>"Pay Your bill on time"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/>
  <dimension ref="A1:M21"/>
  <sheetViews>
    <sheetView topLeftCell="A4" workbookViewId="0">
      <selection activeCell="L8" sqref="L8"/>
    </sheetView>
  </sheetViews>
  <sheetFormatPr defaultRowHeight="15" x14ac:dyDescent="0.25"/>
  <cols>
    <col min="1" max="1" width="10" customWidth="1"/>
    <col min="2" max="2" width="15.140625" customWidth="1"/>
    <col min="3" max="3" width="16.85546875" customWidth="1"/>
    <col min="4" max="4" width="14.5703125" customWidth="1"/>
    <col min="5" max="5" width="14.7109375" customWidth="1"/>
    <col min="6" max="6" width="12.28515625" customWidth="1"/>
    <col min="11" max="11" width="18.28515625" customWidth="1"/>
    <col min="13" max="13" width="13.140625" customWidth="1"/>
  </cols>
  <sheetData>
    <row r="1" spans="1:13" x14ac:dyDescent="0.25">
      <c r="A1" t="s">
        <v>220</v>
      </c>
      <c r="B1" s="51">
        <v>42236</v>
      </c>
    </row>
    <row r="7" spans="1:13" ht="15.75" x14ac:dyDescent="0.25">
      <c r="A7" s="295" t="s">
        <v>221</v>
      </c>
      <c r="B7" s="295" t="s">
        <v>222</v>
      </c>
      <c r="C7" s="295" t="s">
        <v>223</v>
      </c>
      <c r="D7" s="295" t="s">
        <v>229</v>
      </c>
      <c r="E7" s="295" t="s">
        <v>228</v>
      </c>
      <c r="F7" s="295" t="s">
        <v>230</v>
      </c>
      <c r="G7" s="295" t="s">
        <v>224</v>
      </c>
      <c r="H7" s="295" t="s">
        <v>225</v>
      </c>
      <c r="I7" s="295" t="s">
        <v>122</v>
      </c>
      <c r="J7" s="295" t="s">
        <v>37</v>
      </c>
      <c r="K7" s="295" t="s">
        <v>226</v>
      </c>
      <c r="L7" s="295" t="s">
        <v>227</v>
      </c>
      <c r="M7" s="295" t="s">
        <v>9</v>
      </c>
    </row>
    <row r="8" spans="1:13" ht="26.25" x14ac:dyDescent="0.25">
      <c r="A8" s="7">
        <v>1001</v>
      </c>
      <c r="B8" s="7" t="s">
        <v>231</v>
      </c>
      <c r="C8" s="52">
        <v>42227</v>
      </c>
      <c r="D8" s="16">
        <v>100</v>
      </c>
      <c r="E8" s="16">
        <v>150</v>
      </c>
      <c r="F8" s="53">
        <f>E8-D8</f>
        <v>50</v>
      </c>
      <c r="G8" s="21">
        <f>F8*15</f>
        <v>750</v>
      </c>
      <c r="H8" s="21">
        <f>G8*5%</f>
        <v>37.5</v>
      </c>
      <c r="I8" s="7">
        <v>250</v>
      </c>
      <c r="J8" s="21">
        <f>SUM(G8:I8)</f>
        <v>1037.5</v>
      </c>
      <c r="K8" s="296">
        <f>IF(C8&lt;=$B$1,0,J8*3%)</f>
        <v>0</v>
      </c>
      <c r="L8" s="21">
        <f>J8+K8</f>
        <v>1037.5</v>
      </c>
      <c r="M8" s="21" t="str">
        <f>IF(I8&lt;=3000, "Active", "Deactive")</f>
        <v>Active</v>
      </c>
    </row>
    <row r="9" spans="1:13" ht="26.25" x14ac:dyDescent="0.25">
      <c r="A9" s="7">
        <v>1002</v>
      </c>
      <c r="B9" s="7" t="s">
        <v>231</v>
      </c>
      <c r="C9" s="52">
        <v>42228</v>
      </c>
      <c r="D9" s="16">
        <v>2250</v>
      </c>
      <c r="E9" s="16">
        <v>3225</v>
      </c>
      <c r="F9" s="53">
        <f t="shared" ref="F9:F21" si="0">E9-D9</f>
        <v>975</v>
      </c>
      <c r="G9" s="21">
        <f t="shared" ref="G9:G21" si="1">F9*8</f>
        <v>7800</v>
      </c>
      <c r="H9" s="21">
        <f t="shared" ref="H9:H21" si="2">G9*5%</f>
        <v>390</v>
      </c>
      <c r="I9" s="7">
        <v>300</v>
      </c>
      <c r="J9" s="21">
        <f t="shared" ref="J9:J21" si="3">SUM(G9:I9)</f>
        <v>8490</v>
      </c>
      <c r="K9" s="296">
        <f t="shared" ref="K9:K20" si="4">IF(C9&lt;=$B$1,0,J9*3%)</f>
        <v>0</v>
      </c>
      <c r="L9" s="21">
        <f t="shared" ref="L9:L21" si="5">J9+K9</f>
        <v>8490</v>
      </c>
      <c r="M9" s="21" t="str">
        <f t="shared" ref="M9:M21" si="6">IF(I9&lt;=3000, "Active", "Deactive")</f>
        <v>Active</v>
      </c>
    </row>
    <row r="10" spans="1:13" ht="26.25" x14ac:dyDescent="0.25">
      <c r="A10" s="7">
        <v>1003</v>
      </c>
      <c r="B10" s="7" t="s">
        <v>231</v>
      </c>
      <c r="C10" s="52">
        <v>42229</v>
      </c>
      <c r="D10" s="16">
        <v>1475</v>
      </c>
      <c r="E10" s="16">
        <v>1933</v>
      </c>
      <c r="F10" s="53">
        <f t="shared" si="0"/>
        <v>458</v>
      </c>
      <c r="G10" s="21">
        <f t="shared" si="1"/>
        <v>3664</v>
      </c>
      <c r="H10" s="21">
        <f t="shared" si="2"/>
        <v>183.20000000000002</v>
      </c>
      <c r="I10" s="7">
        <v>20</v>
      </c>
      <c r="J10" s="21">
        <f t="shared" si="3"/>
        <v>3867.2</v>
      </c>
      <c r="K10" s="296">
        <f t="shared" si="4"/>
        <v>0</v>
      </c>
      <c r="L10" s="21">
        <f t="shared" si="5"/>
        <v>3867.2</v>
      </c>
      <c r="M10" s="21" t="str">
        <f t="shared" si="6"/>
        <v>Active</v>
      </c>
    </row>
    <row r="11" spans="1:13" ht="26.25" x14ac:dyDescent="0.25">
      <c r="A11" s="7">
        <v>1004</v>
      </c>
      <c r="B11" s="7" t="s">
        <v>231</v>
      </c>
      <c r="C11" s="52">
        <v>42230</v>
      </c>
      <c r="D11" s="16">
        <v>1480</v>
      </c>
      <c r="E11" s="16">
        <v>1585</v>
      </c>
      <c r="F11" s="53">
        <f t="shared" si="0"/>
        <v>105</v>
      </c>
      <c r="G11" s="21">
        <f t="shared" si="1"/>
        <v>840</v>
      </c>
      <c r="H11" s="21">
        <f t="shared" si="2"/>
        <v>42</v>
      </c>
      <c r="I11" s="7">
        <v>352</v>
      </c>
      <c r="J11" s="21">
        <f t="shared" si="3"/>
        <v>1234</v>
      </c>
      <c r="K11" s="296">
        <f t="shared" si="4"/>
        <v>0</v>
      </c>
      <c r="L11" s="21">
        <f t="shared" si="5"/>
        <v>1234</v>
      </c>
      <c r="M11" s="21" t="str">
        <f t="shared" si="6"/>
        <v>Active</v>
      </c>
    </row>
    <row r="12" spans="1:13" ht="26.25" x14ac:dyDescent="0.25">
      <c r="A12" s="7">
        <v>1005</v>
      </c>
      <c r="B12" s="7" t="s">
        <v>231</v>
      </c>
      <c r="C12" s="52">
        <v>42231</v>
      </c>
      <c r="D12" s="16">
        <v>1485</v>
      </c>
      <c r="E12" s="16">
        <v>1590</v>
      </c>
      <c r="F12" s="53">
        <f t="shared" si="0"/>
        <v>105</v>
      </c>
      <c r="G12" s="21">
        <f t="shared" si="1"/>
        <v>840</v>
      </c>
      <c r="H12" s="21">
        <f t="shared" si="2"/>
        <v>42</v>
      </c>
      <c r="I12" s="7">
        <v>0</v>
      </c>
      <c r="J12" s="21">
        <f t="shared" si="3"/>
        <v>882</v>
      </c>
      <c r="K12" s="296">
        <f t="shared" si="4"/>
        <v>0</v>
      </c>
      <c r="L12" s="21">
        <f t="shared" si="5"/>
        <v>882</v>
      </c>
      <c r="M12" s="21" t="str">
        <f t="shared" si="6"/>
        <v>Active</v>
      </c>
    </row>
    <row r="13" spans="1:13" ht="26.25" x14ac:dyDescent="0.25">
      <c r="A13" s="7">
        <v>1006</v>
      </c>
      <c r="B13" s="7" t="s">
        <v>231</v>
      </c>
      <c r="C13" s="52">
        <v>42232</v>
      </c>
      <c r="D13" s="16">
        <v>1490</v>
      </c>
      <c r="E13" s="16">
        <v>1520</v>
      </c>
      <c r="F13" s="53">
        <f t="shared" si="0"/>
        <v>30</v>
      </c>
      <c r="G13" s="21">
        <f t="shared" si="1"/>
        <v>240</v>
      </c>
      <c r="H13" s="21">
        <f t="shared" si="2"/>
        <v>12</v>
      </c>
      <c r="I13" s="7">
        <v>35000</v>
      </c>
      <c r="J13" s="21">
        <f t="shared" si="3"/>
        <v>35252</v>
      </c>
      <c r="K13" s="296">
        <f t="shared" si="4"/>
        <v>0</v>
      </c>
      <c r="L13" s="21">
        <f t="shared" si="5"/>
        <v>35252</v>
      </c>
      <c r="M13" s="21" t="str">
        <f t="shared" si="6"/>
        <v>Deactive</v>
      </c>
    </row>
    <row r="14" spans="1:13" ht="26.25" x14ac:dyDescent="0.25">
      <c r="A14" s="7">
        <v>1007</v>
      </c>
      <c r="B14" s="7" t="s">
        <v>231</v>
      </c>
      <c r="C14" s="52">
        <v>42233</v>
      </c>
      <c r="D14" s="16">
        <v>1495</v>
      </c>
      <c r="E14" s="16">
        <v>1655</v>
      </c>
      <c r="F14" s="53">
        <f t="shared" si="0"/>
        <v>160</v>
      </c>
      <c r="G14" s="21">
        <f t="shared" si="1"/>
        <v>1280</v>
      </c>
      <c r="H14" s="21">
        <f t="shared" si="2"/>
        <v>64</v>
      </c>
      <c r="I14" s="7">
        <v>25000</v>
      </c>
      <c r="J14" s="21">
        <f t="shared" si="3"/>
        <v>26344</v>
      </c>
      <c r="K14" s="296">
        <f t="shared" si="4"/>
        <v>0</v>
      </c>
      <c r="L14" s="21">
        <f t="shared" si="5"/>
        <v>26344</v>
      </c>
      <c r="M14" s="21" t="str">
        <f t="shared" si="6"/>
        <v>Deactive</v>
      </c>
    </row>
    <row r="15" spans="1:13" ht="26.25" x14ac:dyDescent="0.25">
      <c r="A15" s="7">
        <v>1008</v>
      </c>
      <c r="B15" s="7" t="s">
        <v>231</v>
      </c>
      <c r="C15" s="52">
        <v>42234</v>
      </c>
      <c r="D15" s="16">
        <v>1500</v>
      </c>
      <c r="E15" s="16">
        <v>1752</v>
      </c>
      <c r="F15" s="53">
        <f t="shared" si="0"/>
        <v>252</v>
      </c>
      <c r="G15" s="21">
        <f t="shared" si="1"/>
        <v>2016</v>
      </c>
      <c r="H15" s="21">
        <f t="shared" si="2"/>
        <v>100.80000000000001</v>
      </c>
      <c r="I15" s="7">
        <v>0</v>
      </c>
      <c r="J15" s="21">
        <f t="shared" si="3"/>
        <v>2116.8000000000002</v>
      </c>
      <c r="K15" s="296">
        <f t="shared" si="4"/>
        <v>0</v>
      </c>
      <c r="L15" s="21">
        <f t="shared" si="5"/>
        <v>2116.8000000000002</v>
      </c>
      <c r="M15" s="21" t="str">
        <f t="shared" si="6"/>
        <v>Active</v>
      </c>
    </row>
    <row r="16" spans="1:13" ht="26.25" x14ac:dyDescent="0.25">
      <c r="A16" s="7">
        <v>1009</v>
      </c>
      <c r="B16" s="7" t="s">
        <v>231</v>
      </c>
      <c r="C16" s="52">
        <v>42235</v>
      </c>
      <c r="D16" s="16">
        <v>1505</v>
      </c>
      <c r="E16" s="16">
        <v>1852</v>
      </c>
      <c r="F16" s="53">
        <f t="shared" si="0"/>
        <v>347</v>
      </c>
      <c r="G16" s="21">
        <f t="shared" si="1"/>
        <v>2776</v>
      </c>
      <c r="H16" s="21">
        <f t="shared" si="2"/>
        <v>138.80000000000001</v>
      </c>
      <c r="I16" s="7">
        <v>0</v>
      </c>
      <c r="J16" s="21">
        <f t="shared" si="3"/>
        <v>2914.8</v>
      </c>
      <c r="K16" s="296">
        <f t="shared" si="4"/>
        <v>0</v>
      </c>
      <c r="L16" s="21">
        <f t="shared" si="5"/>
        <v>2914.8</v>
      </c>
      <c r="M16" s="21" t="str">
        <f t="shared" si="6"/>
        <v>Active</v>
      </c>
    </row>
    <row r="17" spans="1:13" ht="26.25" x14ac:dyDescent="0.25">
      <c r="A17" s="7">
        <v>1010</v>
      </c>
      <c r="B17" s="7" t="s">
        <v>231</v>
      </c>
      <c r="C17" s="52">
        <v>42236</v>
      </c>
      <c r="D17" s="16">
        <v>1510</v>
      </c>
      <c r="E17" s="16">
        <v>1921</v>
      </c>
      <c r="F17" s="53">
        <f t="shared" si="0"/>
        <v>411</v>
      </c>
      <c r="G17" s="21">
        <f t="shared" si="1"/>
        <v>3288</v>
      </c>
      <c r="H17" s="21">
        <f t="shared" si="2"/>
        <v>164.4</v>
      </c>
      <c r="I17" s="7">
        <v>0</v>
      </c>
      <c r="J17" s="21">
        <f t="shared" si="3"/>
        <v>3452.4</v>
      </c>
      <c r="K17" s="296">
        <f t="shared" si="4"/>
        <v>0</v>
      </c>
      <c r="L17" s="21">
        <f t="shared" si="5"/>
        <v>3452.4</v>
      </c>
      <c r="M17" s="21" t="str">
        <f t="shared" si="6"/>
        <v>Active</v>
      </c>
    </row>
    <row r="18" spans="1:13" ht="26.25" x14ac:dyDescent="0.25">
      <c r="A18" s="7">
        <v>1011</v>
      </c>
      <c r="B18" s="7" t="s">
        <v>231</v>
      </c>
      <c r="C18" s="52">
        <v>42237</v>
      </c>
      <c r="D18" s="16">
        <v>1515</v>
      </c>
      <c r="E18" s="16">
        <v>2000</v>
      </c>
      <c r="F18" s="53">
        <f t="shared" si="0"/>
        <v>485</v>
      </c>
      <c r="G18" s="21">
        <f t="shared" si="1"/>
        <v>3880</v>
      </c>
      <c r="H18" s="21">
        <f t="shared" si="2"/>
        <v>194</v>
      </c>
      <c r="I18" s="7">
        <v>0</v>
      </c>
      <c r="J18" s="21">
        <f t="shared" si="3"/>
        <v>4074</v>
      </c>
      <c r="K18" s="296">
        <f t="shared" si="4"/>
        <v>122.22</v>
      </c>
      <c r="L18" s="21">
        <f t="shared" si="5"/>
        <v>4196.22</v>
      </c>
      <c r="M18" s="21" t="str">
        <f t="shared" si="6"/>
        <v>Active</v>
      </c>
    </row>
    <row r="19" spans="1:13" ht="26.25" x14ac:dyDescent="0.25">
      <c r="A19" s="7">
        <v>1012</v>
      </c>
      <c r="B19" s="7" t="s">
        <v>231</v>
      </c>
      <c r="C19" s="52">
        <v>42238</v>
      </c>
      <c r="D19" s="16">
        <v>1520</v>
      </c>
      <c r="E19" s="16">
        <v>2500</v>
      </c>
      <c r="F19" s="53">
        <f t="shared" si="0"/>
        <v>980</v>
      </c>
      <c r="G19" s="21">
        <f t="shared" si="1"/>
        <v>7840</v>
      </c>
      <c r="H19" s="21">
        <f t="shared" si="2"/>
        <v>392</v>
      </c>
      <c r="I19" s="7">
        <v>0</v>
      </c>
      <c r="J19" s="21">
        <f t="shared" si="3"/>
        <v>8232</v>
      </c>
      <c r="K19" s="296">
        <f t="shared" si="4"/>
        <v>246.95999999999998</v>
      </c>
      <c r="L19" s="21">
        <f t="shared" si="5"/>
        <v>8478.9599999999991</v>
      </c>
      <c r="M19" s="21" t="str">
        <f t="shared" si="6"/>
        <v>Active</v>
      </c>
    </row>
    <row r="20" spans="1:13" ht="26.25" x14ac:dyDescent="0.25">
      <c r="A20" s="7">
        <v>1013</v>
      </c>
      <c r="B20" s="7" t="s">
        <v>231</v>
      </c>
      <c r="C20" s="52">
        <v>42239</v>
      </c>
      <c r="D20" s="16">
        <v>1525</v>
      </c>
      <c r="E20" s="16">
        <v>1700</v>
      </c>
      <c r="F20" s="53">
        <f t="shared" si="0"/>
        <v>175</v>
      </c>
      <c r="G20" s="21">
        <f t="shared" si="1"/>
        <v>1400</v>
      </c>
      <c r="H20" s="21">
        <f t="shared" si="2"/>
        <v>70</v>
      </c>
      <c r="I20" s="7">
        <v>0</v>
      </c>
      <c r="J20" s="21">
        <f t="shared" si="3"/>
        <v>1470</v>
      </c>
      <c r="K20" s="296">
        <f t="shared" si="4"/>
        <v>44.1</v>
      </c>
      <c r="L20" s="21">
        <f t="shared" si="5"/>
        <v>1514.1</v>
      </c>
      <c r="M20" s="21" t="str">
        <f t="shared" si="6"/>
        <v>Active</v>
      </c>
    </row>
    <row r="21" spans="1:13" x14ac:dyDescent="0.25">
      <c r="A21" s="7">
        <v>1014</v>
      </c>
      <c r="B21" s="7" t="s">
        <v>231</v>
      </c>
      <c r="C21" s="52">
        <v>42240</v>
      </c>
      <c r="D21" s="16">
        <v>1530</v>
      </c>
      <c r="E21" s="16">
        <v>1852</v>
      </c>
      <c r="F21" s="53">
        <f t="shared" si="0"/>
        <v>322</v>
      </c>
      <c r="G21" s="21">
        <f t="shared" si="1"/>
        <v>2576</v>
      </c>
      <c r="H21" s="21">
        <f t="shared" si="2"/>
        <v>128.80000000000001</v>
      </c>
      <c r="I21" s="7">
        <v>0</v>
      </c>
      <c r="J21" s="21">
        <f t="shared" si="3"/>
        <v>2704.8</v>
      </c>
      <c r="K21" s="21">
        <f t="shared" ref="K9:K21" si="7">IF(C21&lt;=$B$1, 0, J21*3%)</f>
        <v>81.144000000000005</v>
      </c>
      <c r="L21" s="21">
        <f t="shared" si="5"/>
        <v>2785.9440000000004</v>
      </c>
      <c r="M21" s="21" t="str">
        <f t="shared" si="6"/>
        <v>Active</v>
      </c>
    </row>
  </sheetData>
  <customSheetViews>
    <customSheetView guid="{D6BA57A5-118E-4B58-A351-7E1C36DA5B56}" topLeftCell="A7">
      <selection activeCell="K10" sqref="K10"/>
      <pageMargins left="0.7" right="0.7" top="0.75" bottom="0.75" header="0.3" footer="0.3"/>
    </customSheetView>
    <customSheetView guid="{05B8E57A-BB97-41F0-B6FB-606E79293C77}" topLeftCell="A10">
      <selection activeCell="K10" sqref="K10"/>
      <pageMargins left="0.7" right="0.7" top="0.75" bottom="0.75" header="0.3" footer="0.3"/>
    </customSheetView>
    <customSheetView guid="{3C013989-8552-4FE1-BB7E-C88994E2D13D}" topLeftCell="A7">
      <selection activeCell="K10" sqref="K10"/>
      <pageMargins left="0.7" right="0.7" top="0.75" bottom="0.75" header="0.3" footer="0.3"/>
    </customSheetView>
    <customSheetView guid="{75B547B5-834C-4784-8C45-4C35B93C736F}" topLeftCell="A7">
      <selection activeCell="K10" sqref="K1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4"/>
  <sheetViews>
    <sheetView workbookViewId="0">
      <selection activeCell="F6" sqref="F6"/>
    </sheetView>
  </sheetViews>
  <sheetFormatPr defaultRowHeight="15" x14ac:dyDescent="0.25"/>
  <cols>
    <col min="2" max="2" width="13.42578125" customWidth="1"/>
    <col min="4" max="4" width="15" customWidth="1"/>
    <col min="5" max="5" width="15.42578125" customWidth="1"/>
    <col min="6" max="6" width="11.28515625" customWidth="1"/>
    <col min="7" max="7" width="11.42578125" customWidth="1"/>
    <col min="12" max="12" width="11.42578125" bestFit="1" customWidth="1"/>
    <col min="13" max="13" width="10.140625" bestFit="1" customWidth="1"/>
  </cols>
  <sheetData>
    <row r="1" spans="1:13" x14ac:dyDescent="0.25">
      <c r="A1" s="275" t="s">
        <v>420</v>
      </c>
      <c r="B1" s="275"/>
      <c r="C1" s="275"/>
      <c r="D1" s="275"/>
      <c r="E1" s="275"/>
      <c r="F1" s="275"/>
      <c r="G1" s="275"/>
      <c r="H1" s="275"/>
      <c r="I1" s="276"/>
    </row>
    <row r="2" spans="1:13" x14ac:dyDescent="0.25">
      <c r="A2" s="275"/>
      <c r="B2" s="275"/>
      <c r="C2" s="275"/>
      <c r="D2" s="275"/>
      <c r="E2" s="275"/>
      <c r="F2" s="275"/>
      <c r="G2" s="275"/>
      <c r="H2" s="275"/>
      <c r="I2" s="276"/>
    </row>
    <row r="3" spans="1:13" x14ac:dyDescent="0.25">
      <c r="A3" s="275"/>
      <c r="B3" s="275"/>
      <c r="C3" s="275"/>
      <c r="D3" s="275"/>
      <c r="E3" s="275"/>
      <c r="F3" s="275"/>
      <c r="G3" s="275"/>
      <c r="H3" s="275"/>
      <c r="I3" s="276"/>
    </row>
    <row r="4" spans="1:13" x14ac:dyDescent="0.25">
      <c r="A4" s="275"/>
      <c r="B4" s="275"/>
      <c r="C4" s="275"/>
      <c r="D4" s="275"/>
      <c r="E4" s="275"/>
      <c r="F4" s="275"/>
      <c r="G4" s="275"/>
      <c r="H4" s="275"/>
      <c r="I4" s="276"/>
    </row>
    <row r="5" spans="1:13" x14ac:dyDescent="0.25">
      <c r="A5" s="10" t="s">
        <v>272</v>
      </c>
      <c r="B5" s="10" t="s">
        <v>206</v>
      </c>
      <c r="C5" s="10" t="s">
        <v>273</v>
      </c>
      <c r="D5" s="10" t="s">
        <v>421</v>
      </c>
      <c r="E5" s="10" t="s">
        <v>422</v>
      </c>
      <c r="F5" s="10" t="s">
        <v>423</v>
      </c>
      <c r="G5" s="10" t="s">
        <v>424</v>
      </c>
      <c r="H5" s="10" t="s">
        <v>49</v>
      </c>
      <c r="I5" s="10" t="s">
        <v>425</v>
      </c>
      <c r="K5" s="10" t="s">
        <v>324</v>
      </c>
      <c r="L5" s="10" t="s">
        <v>426</v>
      </c>
      <c r="M5" s="10" t="s">
        <v>427</v>
      </c>
    </row>
    <row r="6" spans="1:13" x14ac:dyDescent="0.25">
      <c r="A6" s="7">
        <v>1</v>
      </c>
      <c r="B6" s="7" t="s">
        <v>428</v>
      </c>
      <c r="C6" s="7">
        <v>14</v>
      </c>
      <c r="D6" s="7">
        <f>IFERROR(VLOOKUP(B6, $K$6:$M$21, 2, 0), " ")</f>
        <v>7500</v>
      </c>
      <c r="E6" s="123">
        <f>IFERROR(C6*D6, " ")</f>
        <v>105000</v>
      </c>
      <c r="F6" s="123">
        <f>IFERROR(VLOOKUP(B6, $K$6:$M$21, 3, 0), " ")</f>
        <v>6500</v>
      </c>
      <c r="G6" s="123">
        <f>IFERROR(C6*F6, " ")</f>
        <v>91000</v>
      </c>
      <c r="H6" s="123">
        <f>IF(G6&gt;E6, G6-E6, 0)</f>
        <v>0</v>
      </c>
      <c r="I6" s="123">
        <f>IF(E6&gt;G6, E6-G6, 0)</f>
        <v>14000</v>
      </c>
      <c r="K6" s="2" t="s">
        <v>428</v>
      </c>
      <c r="L6" s="2">
        <v>7500</v>
      </c>
      <c r="M6" s="2">
        <v>6500</v>
      </c>
    </row>
    <row r="7" spans="1:13" x14ac:dyDescent="0.25">
      <c r="A7" s="7">
        <v>2</v>
      </c>
      <c r="B7" s="7" t="s">
        <v>429</v>
      </c>
      <c r="C7" s="7">
        <v>15</v>
      </c>
      <c r="D7" s="7">
        <f t="shared" ref="D7:D22" si="0">IFERROR(VLOOKUP(B7, $K$6:$M$21, 2, 0), " ")</f>
        <v>18000</v>
      </c>
      <c r="E7" s="123">
        <f t="shared" ref="E7:E22" si="1">IFERROR(C7*D7, " ")</f>
        <v>270000</v>
      </c>
      <c r="F7" s="123">
        <f t="shared" ref="F7:F22" si="2">IFERROR(VLOOKUP(B7, $K$6:$M$21, 3, 0), " ")</f>
        <v>19500</v>
      </c>
      <c r="G7" s="123">
        <f t="shared" ref="G7:G22" si="3">IFERROR(C7*F7, " ")</f>
        <v>292500</v>
      </c>
      <c r="H7" s="123">
        <f t="shared" ref="H7:H22" si="4">IF(G7&gt;E7, G7-E7, 0)</f>
        <v>22500</v>
      </c>
      <c r="I7" s="123">
        <f t="shared" ref="I7:I22" si="5">IF(E7&gt;G7, E7-G7, 0)</f>
        <v>0</v>
      </c>
      <c r="K7" s="2" t="s">
        <v>429</v>
      </c>
      <c r="L7" s="2">
        <v>18000</v>
      </c>
      <c r="M7" s="2">
        <v>19500</v>
      </c>
    </row>
    <row r="8" spans="1:13" x14ac:dyDescent="0.25">
      <c r="A8" s="7">
        <v>3</v>
      </c>
      <c r="B8" s="7" t="s">
        <v>430</v>
      </c>
      <c r="C8" s="7">
        <v>25</v>
      </c>
      <c r="D8" s="7">
        <f t="shared" si="0"/>
        <v>13000</v>
      </c>
      <c r="E8" s="123">
        <f t="shared" si="1"/>
        <v>325000</v>
      </c>
      <c r="F8" s="123">
        <f t="shared" si="2"/>
        <v>14500</v>
      </c>
      <c r="G8" s="123">
        <f t="shared" si="3"/>
        <v>362500</v>
      </c>
      <c r="H8" s="123">
        <f t="shared" si="4"/>
        <v>37500</v>
      </c>
      <c r="I8" s="123">
        <f t="shared" si="5"/>
        <v>0</v>
      </c>
      <c r="K8" s="2" t="s">
        <v>430</v>
      </c>
      <c r="L8" s="2">
        <v>13000</v>
      </c>
      <c r="M8" s="2">
        <v>14500</v>
      </c>
    </row>
    <row r="9" spans="1:13" x14ac:dyDescent="0.25">
      <c r="A9" s="7">
        <v>4</v>
      </c>
      <c r="B9" s="7" t="s">
        <v>431</v>
      </c>
      <c r="C9" s="7">
        <v>10</v>
      </c>
      <c r="D9" s="7">
        <f t="shared" si="0"/>
        <v>65000</v>
      </c>
      <c r="E9" s="123">
        <f t="shared" si="1"/>
        <v>650000</v>
      </c>
      <c r="F9" s="123">
        <f t="shared" si="2"/>
        <v>71000</v>
      </c>
      <c r="G9" s="123">
        <f t="shared" si="3"/>
        <v>710000</v>
      </c>
      <c r="H9" s="123">
        <f t="shared" si="4"/>
        <v>60000</v>
      </c>
      <c r="I9" s="123">
        <f t="shared" si="5"/>
        <v>0</v>
      </c>
      <c r="K9" s="2" t="s">
        <v>431</v>
      </c>
      <c r="L9" s="2">
        <v>65000</v>
      </c>
      <c r="M9" s="2">
        <v>71000</v>
      </c>
    </row>
    <row r="10" spans="1:13" x14ac:dyDescent="0.25">
      <c r="A10" s="7">
        <v>5</v>
      </c>
      <c r="B10" s="7" t="s">
        <v>428</v>
      </c>
      <c r="C10" s="7">
        <v>25</v>
      </c>
      <c r="D10" s="7">
        <f t="shared" si="0"/>
        <v>7500</v>
      </c>
      <c r="E10" s="123">
        <f t="shared" si="1"/>
        <v>187500</v>
      </c>
      <c r="F10" s="123">
        <f t="shared" si="2"/>
        <v>6500</v>
      </c>
      <c r="G10" s="123">
        <f t="shared" si="3"/>
        <v>162500</v>
      </c>
      <c r="H10" s="123">
        <f t="shared" si="4"/>
        <v>0</v>
      </c>
      <c r="I10" s="123">
        <f t="shared" si="5"/>
        <v>25000</v>
      </c>
      <c r="K10" s="2"/>
      <c r="L10" s="2"/>
      <c r="M10" s="2"/>
    </row>
    <row r="11" spans="1:13" x14ac:dyDescent="0.25">
      <c r="A11" s="7">
        <v>6</v>
      </c>
      <c r="B11" s="7"/>
      <c r="C11" s="7"/>
      <c r="D11" s="7" t="str">
        <f t="shared" si="0"/>
        <v xml:space="preserve"> </v>
      </c>
      <c r="E11" s="123" t="str">
        <f t="shared" si="1"/>
        <v xml:space="preserve"> </v>
      </c>
      <c r="F11" s="123" t="str">
        <f t="shared" si="2"/>
        <v xml:space="preserve"> </v>
      </c>
      <c r="G11" s="123" t="str">
        <f t="shared" si="3"/>
        <v xml:space="preserve"> </v>
      </c>
      <c r="H11" s="123">
        <f t="shared" si="4"/>
        <v>0</v>
      </c>
      <c r="I11" s="123">
        <f t="shared" si="5"/>
        <v>0</v>
      </c>
      <c r="K11" s="2"/>
      <c r="L11" s="2"/>
      <c r="M11" s="2"/>
    </row>
    <row r="12" spans="1:13" x14ac:dyDescent="0.25">
      <c r="A12" s="7">
        <v>7</v>
      </c>
      <c r="B12" s="7"/>
      <c r="C12" s="7"/>
      <c r="D12" s="7" t="str">
        <f t="shared" si="0"/>
        <v xml:space="preserve"> </v>
      </c>
      <c r="E12" s="123" t="str">
        <f t="shared" si="1"/>
        <v xml:space="preserve"> </v>
      </c>
      <c r="F12" s="123" t="str">
        <f t="shared" si="2"/>
        <v xml:space="preserve"> </v>
      </c>
      <c r="G12" s="123" t="str">
        <f t="shared" si="3"/>
        <v xml:space="preserve"> </v>
      </c>
      <c r="H12" s="123">
        <f t="shared" si="4"/>
        <v>0</v>
      </c>
      <c r="I12" s="123">
        <f t="shared" si="5"/>
        <v>0</v>
      </c>
      <c r="K12" s="2"/>
      <c r="L12" s="2"/>
      <c r="M12" s="2"/>
    </row>
    <row r="13" spans="1:13" x14ac:dyDescent="0.25">
      <c r="A13" s="7">
        <v>8</v>
      </c>
      <c r="B13" s="7"/>
      <c r="C13" s="7"/>
      <c r="D13" s="7" t="str">
        <f t="shared" si="0"/>
        <v xml:space="preserve"> </v>
      </c>
      <c r="E13" s="123" t="str">
        <f t="shared" si="1"/>
        <v xml:space="preserve"> </v>
      </c>
      <c r="F13" s="123" t="str">
        <f t="shared" si="2"/>
        <v xml:space="preserve"> </v>
      </c>
      <c r="G13" s="123" t="str">
        <f t="shared" si="3"/>
        <v xml:space="preserve"> </v>
      </c>
      <c r="H13" s="123">
        <f t="shared" si="4"/>
        <v>0</v>
      </c>
      <c r="I13" s="123">
        <f t="shared" si="5"/>
        <v>0</v>
      </c>
      <c r="K13" s="2"/>
      <c r="L13" s="2"/>
      <c r="M13" s="2"/>
    </row>
    <row r="14" spans="1:13" x14ac:dyDescent="0.25">
      <c r="A14" s="7">
        <v>9</v>
      </c>
      <c r="B14" s="7"/>
      <c r="C14" s="7"/>
      <c r="D14" s="7" t="str">
        <f t="shared" si="0"/>
        <v xml:space="preserve"> </v>
      </c>
      <c r="E14" s="123" t="str">
        <f t="shared" si="1"/>
        <v xml:space="preserve"> </v>
      </c>
      <c r="F14" s="123" t="str">
        <f t="shared" si="2"/>
        <v xml:space="preserve"> </v>
      </c>
      <c r="G14" s="123" t="str">
        <f t="shared" si="3"/>
        <v xml:space="preserve"> </v>
      </c>
      <c r="H14" s="123">
        <f t="shared" si="4"/>
        <v>0</v>
      </c>
      <c r="I14" s="123">
        <f t="shared" si="5"/>
        <v>0</v>
      </c>
      <c r="K14" s="2"/>
      <c r="L14" s="2"/>
      <c r="M14" s="2"/>
    </row>
    <row r="15" spans="1:13" x14ac:dyDescent="0.25">
      <c r="A15" s="7">
        <v>10</v>
      </c>
      <c r="B15" s="7"/>
      <c r="C15" s="7"/>
      <c r="D15" s="7" t="str">
        <f t="shared" si="0"/>
        <v xml:space="preserve"> </v>
      </c>
      <c r="E15" s="123" t="str">
        <f t="shared" si="1"/>
        <v xml:space="preserve"> </v>
      </c>
      <c r="F15" s="123" t="str">
        <f t="shared" si="2"/>
        <v xml:space="preserve"> </v>
      </c>
      <c r="G15" s="123" t="str">
        <f t="shared" si="3"/>
        <v xml:space="preserve"> </v>
      </c>
      <c r="H15" s="123">
        <f t="shared" si="4"/>
        <v>0</v>
      </c>
      <c r="I15" s="123">
        <f t="shared" si="5"/>
        <v>0</v>
      </c>
      <c r="K15" s="2"/>
      <c r="L15" s="2"/>
      <c r="M15" s="2"/>
    </row>
    <row r="16" spans="1:13" x14ac:dyDescent="0.25">
      <c r="A16" s="7">
        <v>11</v>
      </c>
      <c r="B16" s="7"/>
      <c r="C16" s="7"/>
      <c r="D16" s="7" t="str">
        <f t="shared" si="0"/>
        <v xml:space="preserve"> </v>
      </c>
      <c r="E16" s="123" t="str">
        <f t="shared" si="1"/>
        <v xml:space="preserve"> </v>
      </c>
      <c r="F16" s="123" t="str">
        <f t="shared" si="2"/>
        <v xml:space="preserve"> </v>
      </c>
      <c r="G16" s="123" t="str">
        <f t="shared" si="3"/>
        <v xml:space="preserve"> </v>
      </c>
      <c r="H16" s="123">
        <f t="shared" si="4"/>
        <v>0</v>
      </c>
      <c r="I16" s="123">
        <f t="shared" si="5"/>
        <v>0</v>
      </c>
      <c r="K16" s="2"/>
      <c r="L16" s="2"/>
      <c r="M16" s="2"/>
    </row>
    <row r="17" spans="1:13" x14ac:dyDescent="0.25">
      <c r="A17" s="7">
        <v>12</v>
      </c>
      <c r="B17" s="7"/>
      <c r="C17" s="7"/>
      <c r="D17" s="7" t="str">
        <f t="shared" si="0"/>
        <v xml:space="preserve"> </v>
      </c>
      <c r="E17" s="123" t="str">
        <f t="shared" si="1"/>
        <v xml:space="preserve"> </v>
      </c>
      <c r="F17" s="123" t="str">
        <f t="shared" si="2"/>
        <v xml:space="preserve"> </v>
      </c>
      <c r="G17" s="123" t="str">
        <f t="shared" si="3"/>
        <v xml:space="preserve"> </v>
      </c>
      <c r="H17" s="123">
        <f t="shared" si="4"/>
        <v>0</v>
      </c>
      <c r="I17" s="123">
        <f t="shared" si="5"/>
        <v>0</v>
      </c>
      <c r="K17" s="2"/>
      <c r="L17" s="2"/>
      <c r="M17" s="2"/>
    </row>
    <row r="18" spans="1:13" x14ac:dyDescent="0.25">
      <c r="A18" s="7">
        <v>13</v>
      </c>
      <c r="B18" s="7"/>
      <c r="C18" s="7"/>
      <c r="D18" s="7" t="str">
        <f t="shared" si="0"/>
        <v xml:space="preserve"> </v>
      </c>
      <c r="E18" s="123" t="str">
        <f t="shared" si="1"/>
        <v xml:space="preserve"> </v>
      </c>
      <c r="F18" s="123" t="str">
        <f t="shared" si="2"/>
        <v xml:space="preserve"> </v>
      </c>
      <c r="G18" s="123" t="str">
        <f t="shared" si="3"/>
        <v xml:space="preserve"> </v>
      </c>
      <c r="H18" s="123">
        <f t="shared" si="4"/>
        <v>0</v>
      </c>
      <c r="I18" s="123">
        <f t="shared" si="5"/>
        <v>0</v>
      </c>
      <c r="K18" s="2"/>
      <c r="L18" s="2"/>
      <c r="M18" s="2"/>
    </row>
    <row r="19" spans="1:13" x14ac:dyDescent="0.25">
      <c r="A19" s="7">
        <v>14</v>
      </c>
      <c r="B19" s="7"/>
      <c r="C19" s="7"/>
      <c r="D19" s="7" t="str">
        <f t="shared" si="0"/>
        <v xml:space="preserve"> </v>
      </c>
      <c r="E19" s="123" t="str">
        <f t="shared" si="1"/>
        <v xml:space="preserve"> </v>
      </c>
      <c r="F19" s="123" t="str">
        <f t="shared" si="2"/>
        <v xml:space="preserve"> </v>
      </c>
      <c r="G19" s="123" t="str">
        <f t="shared" si="3"/>
        <v xml:space="preserve"> </v>
      </c>
      <c r="H19" s="123">
        <f t="shared" si="4"/>
        <v>0</v>
      </c>
      <c r="I19" s="123">
        <f t="shared" si="5"/>
        <v>0</v>
      </c>
      <c r="K19" s="2"/>
      <c r="L19" s="2"/>
      <c r="M19" s="2"/>
    </row>
    <row r="20" spans="1:13" x14ac:dyDescent="0.25">
      <c r="A20" s="7">
        <v>15</v>
      </c>
      <c r="B20" s="7"/>
      <c r="C20" s="7"/>
      <c r="D20" s="7" t="str">
        <f t="shared" si="0"/>
        <v xml:space="preserve"> </v>
      </c>
      <c r="E20" s="123" t="str">
        <f t="shared" si="1"/>
        <v xml:space="preserve"> </v>
      </c>
      <c r="F20" s="123" t="str">
        <f t="shared" si="2"/>
        <v xml:space="preserve"> </v>
      </c>
      <c r="G20" s="123" t="str">
        <f t="shared" si="3"/>
        <v xml:space="preserve"> </v>
      </c>
      <c r="H20" s="123">
        <f t="shared" si="4"/>
        <v>0</v>
      </c>
      <c r="I20" s="123">
        <f t="shared" si="5"/>
        <v>0</v>
      </c>
      <c r="K20" s="2"/>
      <c r="L20" s="2"/>
      <c r="M20" s="2"/>
    </row>
    <row r="21" spans="1:13" x14ac:dyDescent="0.25">
      <c r="A21" s="7">
        <v>16</v>
      </c>
      <c r="B21" s="7"/>
      <c r="C21" s="7"/>
      <c r="D21" s="7" t="str">
        <f t="shared" si="0"/>
        <v xml:space="preserve"> </v>
      </c>
      <c r="E21" s="123" t="str">
        <f t="shared" si="1"/>
        <v xml:space="preserve"> </v>
      </c>
      <c r="F21" s="123" t="str">
        <f t="shared" si="2"/>
        <v xml:space="preserve"> </v>
      </c>
      <c r="G21" s="123" t="str">
        <f t="shared" si="3"/>
        <v xml:space="preserve"> </v>
      </c>
      <c r="H21" s="123">
        <f t="shared" si="4"/>
        <v>0</v>
      </c>
      <c r="I21" s="123">
        <f t="shared" si="5"/>
        <v>0</v>
      </c>
      <c r="K21" s="2"/>
      <c r="L21" s="2"/>
      <c r="M21" s="2"/>
    </row>
    <row r="22" spans="1:13" x14ac:dyDescent="0.25">
      <c r="A22" s="7">
        <v>17</v>
      </c>
      <c r="B22" s="7"/>
      <c r="C22" s="7"/>
      <c r="D22" s="7" t="str">
        <f t="shared" si="0"/>
        <v xml:space="preserve"> </v>
      </c>
      <c r="E22" s="123" t="str">
        <f t="shared" si="1"/>
        <v xml:space="preserve"> </v>
      </c>
      <c r="F22" s="123" t="str">
        <f t="shared" si="2"/>
        <v xml:space="preserve"> </v>
      </c>
      <c r="G22" s="123" t="str">
        <f t="shared" si="3"/>
        <v xml:space="preserve"> </v>
      </c>
      <c r="H22" s="123">
        <f t="shared" si="4"/>
        <v>0</v>
      </c>
      <c r="I22" s="123">
        <f t="shared" si="5"/>
        <v>0</v>
      </c>
    </row>
    <row r="23" spans="1:13" x14ac:dyDescent="0.25">
      <c r="A23" s="7"/>
    </row>
    <row r="24" spans="1:13" x14ac:dyDescent="0.25">
      <c r="A24" s="130" t="s">
        <v>37</v>
      </c>
      <c r="B24" s="130"/>
      <c r="C24" s="130">
        <f>SUM(C6:C22)</f>
        <v>89</v>
      </c>
      <c r="D24" s="130"/>
      <c r="E24" s="130">
        <f t="shared" ref="E24:I24" si="6">SUM(E6:E22)</f>
        <v>1537500</v>
      </c>
      <c r="F24" s="130"/>
      <c r="G24" s="130">
        <f t="shared" si="6"/>
        <v>1618500</v>
      </c>
      <c r="H24" s="130">
        <f t="shared" si="6"/>
        <v>120000</v>
      </c>
      <c r="I24" s="130">
        <f t="shared" si="6"/>
        <v>39000</v>
      </c>
    </row>
  </sheetData>
  <mergeCells count="1">
    <mergeCell ref="A1:I4"/>
  </mergeCells>
  <dataValidations count="1">
    <dataValidation type="list" allowBlank="1" showInputMessage="1" showErrorMessage="1" sqref="B6:B22" xr:uid="{00000000-0002-0000-1500-000000000000}">
      <formula1>$K$6:$K$9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0"/>
  <dimension ref="C5:K18"/>
  <sheetViews>
    <sheetView workbookViewId="0">
      <selection activeCell="K17" sqref="K17"/>
    </sheetView>
  </sheetViews>
  <sheetFormatPr defaultRowHeight="15" x14ac:dyDescent="0.25"/>
  <cols>
    <col min="3" max="3" width="9.7109375" customWidth="1"/>
    <col min="8" max="9" width="9.7109375" bestFit="1" customWidth="1"/>
    <col min="10" max="10" width="10.7109375" bestFit="1" customWidth="1"/>
  </cols>
  <sheetData>
    <row r="5" spans="3:11" x14ac:dyDescent="0.25">
      <c r="C5" t="s">
        <v>45</v>
      </c>
      <c r="D5" t="s">
        <v>206</v>
      </c>
      <c r="E5" t="s">
        <v>34</v>
      </c>
    </row>
    <row r="6" spans="3:11" x14ac:dyDescent="0.25">
      <c r="C6" s="51">
        <v>42227</v>
      </c>
      <c r="D6" t="s">
        <v>232</v>
      </c>
      <c r="E6">
        <v>2000</v>
      </c>
    </row>
    <row r="7" spans="3:11" x14ac:dyDescent="0.25">
      <c r="C7" s="51">
        <v>42229</v>
      </c>
      <c r="D7" t="s">
        <v>233</v>
      </c>
      <c r="E7">
        <v>4000</v>
      </c>
    </row>
    <row r="12" spans="3:11" x14ac:dyDescent="0.25">
      <c r="H12" t="s">
        <v>434</v>
      </c>
      <c r="I12" t="s">
        <v>435</v>
      </c>
      <c r="J12" t="s">
        <v>436</v>
      </c>
      <c r="K12" t="s">
        <v>437</v>
      </c>
    </row>
    <row r="13" spans="3:11" x14ac:dyDescent="0.25">
      <c r="H13" s="51">
        <v>45558</v>
      </c>
      <c r="I13" s="51">
        <v>45292</v>
      </c>
      <c r="J13" s="51">
        <v>45657</v>
      </c>
      <c r="K13" t="b">
        <f>H13&gt;I13</f>
        <v>1</v>
      </c>
    </row>
    <row r="14" spans="3:11" x14ac:dyDescent="0.25">
      <c r="H14" s="51">
        <v>45558</v>
      </c>
      <c r="K14" t="b">
        <f>AND(H14&gt;I13,H14&lt;J13)</f>
        <v>1</v>
      </c>
    </row>
    <row r="15" spans="3:11" x14ac:dyDescent="0.25">
      <c r="H15" s="51">
        <v>45558</v>
      </c>
      <c r="K15" t="b">
        <f>OR(H15&gt;I13,H15&lt;J13+60)</f>
        <v>1</v>
      </c>
    </row>
    <row r="16" spans="3:11" x14ac:dyDescent="0.25">
      <c r="H16" s="51">
        <v>45558</v>
      </c>
      <c r="K16" t="b">
        <f>NOT(H16&gt;I13)</f>
        <v>0</v>
      </c>
    </row>
    <row r="17" spans="8:11" x14ac:dyDescent="0.25">
      <c r="H17" s="51">
        <v>45558</v>
      </c>
      <c r="K17" t="b">
        <f>NOT(I13&gt;H17)</f>
        <v>1</v>
      </c>
    </row>
    <row r="18" spans="8:11" x14ac:dyDescent="0.25">
      <c r="H18" s="51"/>
    </row>
  </sheetData>
  <customSheetViews>
    <customSheetView guid="{D6BA57A5-118E-4B58-A351-7E1C36DA5B56}">
      <selection activeCell="I15" sqref="I15"/>
      <pageMargins left="0.7" right="0.7" top="0.75" bottom="0.75" header="0.3" footer="0.3"/>
    </customSheetView>
    <customSheetView guid="{05B8E57A-BB97-41F0-B6FB-606E79293C77}">
      <selection activeCell="E16" sqref="E16"/>
      <pageMargins left="0.7" right="0.7" top="0.75" bottom="0.75" header="0.3" footer="0.3"/>
    </customSheetView>
    <customSheetView guid="{3C013989-8552-4FE1-BB7E-C88994E2D13D}">
      <selection activeCell="I15" sqref="I15"/>
      <pageMargins left="0.7" right="0.7" top="0.75" bottom="0.75" header="0.3" footer="0.3"/>
    </customSheetView>
    <customSheetView guid="{75B547B5-834C-4784-8C45-4C35B93C736F}">
      <selection activeCell="I15" sqref="I15"/>
      <pageMargins left="0.7" right="0.7" top="0.75" bottom="0.75" header="0.3" footer="0.3"/>
    </customSheetView>
  </customSheetViews>
  <conditionalFormatting sqref="H13">
    <cfRule type="expression" dxfId="15" priority="5">
      <formula>$K$13</formula>
    </cfRule>
  </conditionalFormatting>
  <conditionalFormatting sqref="H14">
    <cfRule type="expression" dxfId="14" priority="4">
      <formula>$K$14</formula>
    </cfRule>
  </conditionalFormatting>
  <conditionalFormatting sqref="H15">
    <cfRule type="expression" dxfId="13" priority="2">
      <formula>$K$15</formula>
    </cfRule>
  </conditionalFormatting>
  <conditionalFormatting sqref="H16">
    <cfRule type="expression" dxfId="12" priority="3">
      <formula>$K$16</formula>
    </cfRule>
  </conditionalFormatting>
  <conditionalFormatting sqref="H17">
    <cfRule type="expression" dxfId="11" priority="1">
      <formula>$K$17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/>
  <dimension ref="A1:B18"/>
  <sheetViews>
    <sheetView topLeftCell="A7" workbookViewId="0">
      <selection activeCell="D25" sqref="D25"/>
    </sheetView>
  </sheetViews>
  <sheetFormatPr defaultRowHeight="15" outlineLevelRow="1" x14ac:dyDescent="0.25"/>
  <cols>
    <col min="1" max="1" width="9.140625" customWidth="1"/>
  </cols>
  <sheetData>
    <row r="1" spans="1:2" x14ac:dyDescent="0.25">
      <c r="A1" t="s">
        <v>324</v>
      </c>
      <c r="B1" t="s">
        <v>235</v>
      </c>
    </row>
    <row r="2" spans="1:2" outlineLevel="1" x14ac:dyDescent="0.25">
      <c r="A2" t="s">
        <v>274</v>
      </c>
      <c r="B2">
        <v>3400</v>
      </c>
    </row>
    <row r="3" spans="1:2" outlineLevel="1" x14ac:dyDescent="0.25">
      <c r="A3" t="s">
        <v>274</v>
      </c>
      <c r="B3">
        <v>3500</v>
      </c>
    </row>
    <row r="4" spans="1:2" outlineLevel="1" x14ac:dyDescent="0.25">
      <c r="A4" t="s">
        <v>274</v>
      </c>
      <c r="B4">
        <v>3600</v>
      </c>
    </row>
    <row r="5" spans="1:2" outlineLevel="1" x14ac:dyDescent="0.25">
      <c r="A5" t="s">
        <v>274</v>
      </c>
      <c r="B5">
        <v>3700</v>
      </c>
    </row>
    <row r="6" spans="1:2" outlineLevel="1" x14ac:dyDescent="0.25">
      <c r="A6" t="s">
        <v>274</v>
      </c>
      <c r="B6">
        <v>3800</v>
      </c>
    </row>
    <row r="7" spans="1:2" outlineLevel="1" x14ac:dyDescent="0.25">
      <c r="A7" t="s">
        <v>274</v>
      </c>
      <c r="B7">
        <v>3900</v>
      </c>
    </row>
    <row r="8" spans="1:2" x14ac:dyDescent="0.25">
      <c r="A8" s="75" t="s">
        <v>344</v>
      </c>
      <c r="B8">
        <f>SUBTOTAL(9,B2:B7)</f>
        <v>21900</v>
      </c>
    </row>
    <row r="9" spans="1:2" outlineLevel="1" x14ac:dyDescent="0.25">
      <c r="A9" t="s">
        <v>207</v>
      </c>
      <c r="B9">
        <v>400</v>
      </c>
    </row>
    <row r="10" spans="1:2" outlineLevel="1" x14ac:dyDescent="0.25">
      <c r="A10" t="s">
        <v>207</v>
      </c>
      <c r="B10">
        <v>400</v>
      </c>
    </row>
    <row r="11" spans="1:2" outlineLevel="1" x14ac:dyDescent="0.25">
      <c r="A11" t="s">
        <v>207</v>
      </c>
      <c r="B11">
        <v>400</v>
      </c>
    </row>
    <row r="12" spans="1:2" outlineLevel="1" x14ac:dyDescent="0.25">
      <c r="A12" t="s">
        <v>207</v>
      </c>
      <c r="B12">
        <v>430</v>
      </c>
    </row>
    <row r="13" spans="1:2" outlineLevel="1" x14ac:dyDescent="0.25">
      <c r="A13" t="s">
        <v>207</v>
      </c>
      <c r="B13">
        <v>540</v>
      </c>
    </row>
    <row r="14" spans="1:2" x14ac:dyDescent="0.25">
      <c r="A14" s="75" t="s">
        <v>345</v>
      </c>
      <c r="B14">
        <f>SUBTOTAL(9,B9:B13)</f>
        <v>2170</v>
      </c>
    </row>
    <row r="15" spans="1:2" outlineLevel="1" x14ac:dyDescent="0.25">
      <c r="A15" t="s">
        <v>275</v>
      </c>
      <c r="B15">
        <v>3500</v>
      </c>
    </row>
    <row r="16" spans="1:2" outlineLevel="1" x14ac:dyDescent="0.25">
      <c r="A16" t="s">
        <v>275</v>
      </c>
      <c r="B16">
        <v>7000</v>
      </c>
    </row>
    <row r="17" spans="1:2" x14ac:dyDescent="0.25">
      <c r="A17" s="75" t="s">
        <v>346</v>
      </c>
      <c r="B17">
        <f>SUBTOTAL(9,B15:B16)</f>
        <v>10500</v>
      </c>
    </row>
    <row r="18" spans="1:2" x14ac:dyDescent="0.25">
      <c r="A18" s="75" t="s">
        <v>347</v>
      </c>
      <c r="B18">
        <f>SUBTOTAL(9,B2:B16)</f>
        <v>34570</v>
      </c>
    </row>
  </sheetData>
  <sortState xmlns:xlrd2="http://schemas.microsoft.com/office/spreadsheetml/2017/richdata2" ref="A2:B14">
    <sortCondition ref="A2:A14"/>
  </sortState>
  <customSheetViews>
    <customSheetView guid="{D6BA57A5-118E-4B58-A351-7E1C36DA5B56}">
      <selection activeCell="D25" sqref="D25"/>
      <pageMargins left="0.7" right="0.7" top="0.75" bottom="0.75" header="0.3" footer="0.3"/>
    </customSheetView>
    <customSheetView guid="{05B8E57A-BB97-41F0-B6FB-606E79293C77}">
      <selection activeCell="D25" sqref="D2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6"/>
  <sheetViews>
    <sheetView workbookViewId="0">
      <selection activeCell="F7" sqref="F7"/>
    </sheetView>
  </sheetViews>
  <sheetFormatPr defaultRowHeight="15" x14ac:dyDescent="0.25"/>
  <cols>
    <col min="1" max="1" width="5.5703125" customWidth="1"/>
    <col min="2" max="2" width="8.140625" customWidth="1"/>
    <col min="3" max="3" width="7.7109375" customWidth="1"/>
    <col min="4" max="5" width="12" customWidth="1"/>
    <col min="6" max="6" width="22.7109375" bestFit="1" customWidth="1"/>
    <col min="7" max="7" width="12.42578125" customWidth="1"/>
    <col min="8" max="8" width="17.28515625" customWidth="1"/>
    <col min="9" max="9" width="39" customWidth="1"/>
  </cols>
  <sheetData>
    <row r="1" spans="1:9" x14ac:dyDescent="0.25">
      <c r="A1" s="277" t="s">
        <v>438</v>
      </c>
      <c r="B1" s="278"/>
      <c r="C1" s="278"/>
      <c r="D1" s="278"/>
      <c r="E1" s="278"/>
      <c r="F1" s="278"/>
      <c r="G1" s="278"/>
      <c r="H1" s="278"/>
      <c r="I1" s="279"/>
    </row>
    <row r="2" spans="1:9" x14ac:dyDescent="0.25">
      <c r="A2" s="280"/>
      <c r="B2" s="281"/>
      <c r="C2" s="281"/>
      <c r="D2" s="281"/>
      <c r="E2" s="281"/>
      <c r="F2" s="281"/>
      <c r="G2" s="281"/>
      <c r="H2" s="281"/>
      <c r="I2" s="282"/>
    </row>
    <row r="3" spans="1:9" x14ac:dyDescent="0.25">
      <c r="A3" s="280"/>
      <c r="B3" s="281"/>
      <c r="C3" s="281"/>
      <c r="D3" s="281"/>
      <c r="E3" s="281"/>
      <c r="F3" s="281"/>
      <c r="G3" s="281"/>
      <c r="H3" s="281"/>
      <c r="I3" s="282"/>
    </row>
    <row r="4" spans="1:9" x14ac:dyDescent="0.25">
      <c r="A4" s="280"/>
      <c r="B4" s="281"/>
      <c r="C4" s="281"/>
      <c r="D4" s="281"/>
      <c r="E4" s="281"/>
      <c r="F4" s="281"/>
      <c r="G4" s="281"/>
      <c r="H4" s="281"/>
      <c r="I4" s="282"/>
    </row>
    <row r="5" spans="1:9" x14ac:dyDescent="0.25">
      <c r="A5" s="283"/>
      <c r="B5" s="284"/>
      <c r="C5" s="284"/>
      <c r="D5" s="284"/>
      <c r="E5" s="284"/>
      <c r="F5" s="284"/>
      <c r="G5" s="284"/>
      <c r="H5" s="284"/>
      <c r="I5" s="285"/>
    </row>
    <row r="6" spans="1:9" ht="30" x14ac:dyDescent="0.25">
      <c r="A6" s="133" t="s">
        <v>50</v>
      </c>
      <c r="B6" s="133" t="s">
        <v>0</v>
      </c>
      <c r="C6" s="133" t="s">
        <v>123</v>
      </c>
      <c r="D6" s="133" t="s">
        <v>124</v>
      </c>
      <c r="E6" s="134" t="s">
        <v>439</v>
      </c>
      <c r="F6" s="133" t="s">
        <v>440</v>
      </c>
      <c r="G6" s="133" t="s">
        <v>441</v>
      </c>
      <c r="H6" s="133" t="s">
        <v>95</v>
      </c>
      <c r="I6" s="133" t="s">
        <v>442</v>
      </c>
    </row>
    <row r="7" spans="1:9" x14ac:dyDescent="0.25">
      <c r="A7" s="7">
        <v>1001</v>
      </c>
      <c r="B7" s="7" t="s">
        <v>12</v>
      </c>
      <c r="C7" s="7" t="s">
        <v>40</v>
      </c>
      <c r="D7" s="7">
        <v>70000</v>
      </c>
      <c r="E7" s="7">
        <v>50</v>
      </c>
      <c r="F7" s="135">
        <f>IF(E7&gt;=90, D7, IF(E7&gt;=80, D7/2, IF(E7&gt;=60, D7/4, 0)))</f>
        <v>0</v>
      </c>
      <c r="G7" s="135" t="str">
        <f>IF(F7&gt;0, "Awarded", "--")</f>
        <v>--</v>
      </c>
      <c r="H7" s="135" t="str">
        <f>IF(E7&gt;=90, "Punctual", "--")</f>
        <v>--</v>
      </c>
      <c r="I7" s="135" t="str">
        <f>IF(H7="Punctual", "You have been promoted", "---")</f>
        <v>---</v>
      </c>
    </row>
    <row r="8" spans="1:9" x14ac:dyDescent="0.25">
      <c r="A8" s="7">
        <v>1002</v>
      </c>
      <c r="B8" s="7" t="s">
        <v>11</v>
      </c>
      <c r="C8" s="7" t="s">
        <v>40</v>
      </c>
      <c r="D8" s="7">
        <v>55000</v>
      </c>
      <c r="E8" s="7" t="s">
        <v>443</v>
      </c>
      <c r="F8" s="135">
        <f t="shared" ref="F8:F9" si="0">IF(E8&gt;=90, D8, IF(E8&gt;=80, D8/2, IF(E8&gt;=60, D8/4, 0)))</f>
        <v>55000</v>
      </c>
      <c r="G8" s="135" t="str">
        <f t="shared" ref="G8:G9" si="1">IF(F8&gt;0, "Awarded", "--")</f>
        <v>Awarded</v>
      </c>
      <c r="H8" s="135" t="str">
        <f t="shared" ref="H8:H9" si="2">IF(E8&gt;=90, "Punctual", "--")</f>
        <v>Punctual</v>
      </c>
      <c r="I8" s="135" t="str">
        <f t="shared" ref="I8:I9" si="3">IF(H8="Punctual", "You have been promoted", "---")</f>
        <v>You have been promoted</v>
      </c>
    </row>
    <row r="9" spans="1:9" x14ac:dyDescent="0.25">
      <c r="A9" s="7">
        <v>1003</v>
      </c>
      <c r="B9" s="7" t="s">
        <v>59</v>
      </c>
      <c r="C9" s="7" t="s">
        <v>41</v>
      </c>
      <c r="D9" s="7">
        <v>60000</v>
      </c>
      <c r="E9" s="7">
        <v>91</v>
      </c>
      <c r="F9" s="135">
        <f t="shared" si="0"/>
        <v>60000</v>
      </c>
      <c r="G9" s="135" t="str">
        <f t="shared" si="1"/>
        <v>Awarded</v>
      </c>
      <c r="H9" s="135" t="str">
        <f t="shared" si="2"/>
        <v>Punctual</v>
      </c>
      <c r="I9" s="135" t="str">
        <f t="shared" si="3"/>
        <v>You have been promoted</v>
      </c>
    </row>
    <row r="14" spans="1:9" x14ac:dyDescent="0.25">
      <c r="D14" t="s">
        <v>444</v>
      </c>
      <c r="E14" t="s">
        <v>445</v>
      </c>
    </row>
    <row r="16" spans="1:9" x14ac:dyDescent="0.25">
      <c r="D16" t="s">
        <v>446</v>
      </c>
      <c r="E16" t="s">
        <v>447</v>
      </c>
      <c r="G16" t="s">
        <v>448</v>
      </c>
    </row>
    <row r="18" spans="4:7" x14ac:dyDescent="0.25">
      <c r="D18" t="s">
        <v>449</v>
      </c>
      <c r="E18" t="s">
        <v>450</v>
      </c>
      <c r="G18" t="s">
        <v>451</v>
      </c>
    </row>
    <row r="22" spans="4:7" x14ac:dyDescent="0.25">
      <c r="G22" t="s">
        <v>452</v>
      </c>
    </row>
    <row r="26" spans="4:7" x14ac:dyDescent="0.25">
      <c r="D26">
        <v>25</v>
      </c>
      <c r="E26">
        <v>15</v>
      </c>
      <c r="F26">
        <f>E26+D26</f>
        <v>40</v>
      </c>
    </row>
  </sheetData>
  <mergeCells count="1">
    <mergeCell ref="A1:I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25"/>
  <sheetViews>
    <sheetView zoomScale="80" zoomScaleNormal="80" workbookViewId="0">
      <selection activeCell="B23" sqref="B23"/>
    </sheetView>
  </sheetViews>
  <sheetFormatPr defaultRowHeight="15" x14ac:dyDescent="0.25"/>
  <cols>
    <col min="1" max="1" width="13" customWidth="1"/>
    <col min="2" max="2" width="11.28515625" customWidth="1"/>
    <col min="3" max="3" width="22.28515625" customWidth="1"/>
    <col min="4" max="4" width="9.140625" customWidth="1"/>
    <col min="5" max="5" width="11.7109375" customWidth="1"/>
    <col min="12" max="12" width="9.140625" customWidth="1"/>
  </cols>
  <sheetData>
    <row r="1" spans="1:14" ht="30" x14ac:dyDescent="0.25">
      <c r="A1" s="10" t="s">
        <v>324</v>
      </c>
      <c r="B1" s="10" t="s">
        <v>273</v>
      </c>
      <c r="C1" s="10" t="s">
        <v>9</v>
      </c>
      <c r="E1" s="134" t="s">
        <v>453</v>
      </c>
      <c r="F1" s="133" t="s">
        <v>454</v>
      </c>
      <c r="G1" s="136" t="s">
        <v>455</v>
      </c>
      <c r="H1" s="133" t="s">
        <v>456</v>
      </c>
      <c r="I1" s="133" t="s">
        <v>457</v>
      </c>
      <c r="J1" s="133" t="s">
        <v>458</v>
      </c>
      <c r="K1" s="133" t="s">
        <v>459</v>
      </c>
      <c r="M1" s="286" t="s">
        <v>460</v>
      </c>
      <c r="N1" s="286"/>
    </row>
    <row r="2" spans="1:14" x14ac:dyDescent="0.25">
      <c r="A2" s="7" t="s">
        <v>459</v>
      </c>
      <c r="B2" s="7">
        <f>VLOOKUP(A2,$M$2:$N$7, 2, 0)</f>
        <v>96</v>
      </c>
      <c r="C2" s="7" t="str">
        <f>IF(B2&lt;50, "Call the Office", "Available")</f>
        <v>Available</v>
      </c>
      <c r="E2" s="137">
        <v>44261</v>
      </c>
      <c r="F2" s="7">
        <v>150</v>
      </c>
      <c r="G2" s="71">
        <v>250</v>
      </c>
      <c r="H2" s="7">
        <v>300</v>
      </c>
      <c r="I2" s="7">
        <v>120</v>
      </c>
      <c r="J2" s="7">
        <v>36</v>
      </c>
      <c r="K2" s="7">
        <v>120</v>
      </c>
      <c r="M2" s="10" t="s">
        <v>454</v>
      </c>
      <c r="N2" s="7">
        <f>F11-F25</f>
        <v>312</v>
      </c>
    </row>
    <row r="3" spans="1:14" x14ac:dyDescent="0.25">
      <c r="E3" s="137">
        <v>44262</v>
      </c>
      <c r="F3" s="7">
        <v>36</v>
      </c>
      <c r="G3" s="71">
        <v>25</v>
      </c>
      <c r="H3" s="7">
        <v>54</v>
      </c>
      <c r="I3" s="7">
        <v>58</v>
      </c>
      <c r="J3" s="7">
        <v>25</v>
      </c>
      <c r="K3" s="7">
        <v>23</v>
      </c>
      <c r="M3" s="10" t="s">
        <v>455</v>
      </c>
      <c r="N3" s="7">
        <f>G11-G25</f>
        <v>314</v>
      </c>
    </row>
    <row r="4" spans="1:14" x14ac:dyDescent="0.25">
      <c r="E4" s="137">
        <v>44263</v>
      </c>
      <c r="F4" s="7">
        <v>95</v>
      </c>
      <c r="G4" s="71">
        <v>98</v>
      </c>
      <c r="H4" s="7">
        <v>78</v>
      </c>
      <c r="I4" s="7">
        <v>47</v>
      </c>
      <c r="J4" s="7">
        <v>35</v>
      </c>
      <c r="K4" s="7">
        <v>36</v>
      </c>
      <c r="M4" s="10" t="s">
        <v>456</v>
      </c>
      <c r="N4" s="2">
        <f>H11-H25</f>
        <v>422</v>
      </c>
    </row>
    <row r="5" spans="1:14" x14ac:dyDescent="0.25">
      <c r="E5" s="137">
        <v>44264</v>
      </c>
      <c r="F5" s="7">
        <v>75</v>
      </c>
      <c r="G5" s="71">
        <v>58</v>
      </c>
      <c r="H5" s="7">
        <v>58</v>
      </c>
      <c r="I5" s="7">
        <v>58</v>
      </c>
      <c r="J5" s="7">
        <v>99</v>
      </c>
      <c r="K5" s="7">
        <v>67</v>
      </c>
      <c r="M5" s="10" t="s">
        <v>457</v>
      </c>
      <c r="N5" s="2">
        <f>I11-I25</f>
        <v>101</v>
      </c>
    </row>
    <row r="6" spans="1:14" x14ac:dyDescent="0.25">
      <c r="E6" s="137">
        <v>44265</v>
      </c>
      <c r="F6" s="7">
        <v>78</v>
      </c>
      <c r="G6" s="71">
        <v>69</v>
      </c>
      <c r="H6" s="7">
        <v>47</v>
      </c>
      <c r="I6" s="7">
        <v>55</v>
      </c>
      <c r="J6" s="7">
        <v>98</v>
      </c>
      <c r="K6" s="7">
        <v>68</v>
      </c>
      <c r="M6" s="10" t="s">
        <v>458</v>
      </c>
      <c r="N6" s="2">
        <f>J11-J25</f>
        <v>141</v>
      </c>
    </row>
    <row r="7" spans="1:14" x14ac:dyDescent="0.25">
      <c r="E7" s="137">
        <v>44266</v>
      </c>
      <c r="F7" s="7">
        <v>79</v>
      </c>
      <c r="G7" s="71">
        <v>58</v>
      </c>
      <c r="H7" s="7">
        <v>59</v>
      </c>
      <c r="I7" s="7">
        <v>69</v>
      </c>
      <c r="J7" s="7">
        <v>95</v>
      </c>
      <c r="K7" s="7">
        <v>69</v>
      </c>
      <c r="M7" s="10" t="s">
        <v>459</v>
      </c>
      <c r="N7" s="2">
        <f>K11-K25</f>
        <v>96</v>
      </c>
    </row>
    <row r="8" spans="1:14" x14ac:dyDescent="0.25">
      <c r="E8" s="137">
        <v>44267</v>
      </c>
      <c r="F8" s="7">
        <v>45</v>
      </c>
      <c r="G8" s="71"/>
      <c r="H8" s="7"/>
      <c r="I8" s="7"/>
      <c r="J8" s="7"/>
      <c r="K8" s="7">
        <v>100</v>
      </c>
    </row>
    <row r="9" spans="1:14" x14ac:dyDescent="0.25">
      <c r="E9" s="137">
        <v>44268</v>
      </c>
      <c r="F9" s="7"/>
      <c r="G9" s="71"/>
      <c r="H9" s="7"/>
      <c r="I9" s="7"/>
      <c r="J9" s="7"/>
      <c r="K9" s="7"/>
    </row>
    <row r="10" spans="1:14" x14ac:dyDescent="0.25">
      <c r="E10" s="137">
        <v>44269</v>
      </c>
      <c r="F10" s="7"/>
      <c r="G10" s="71"/>
      <c r="H10" s="7"/>
      <c r="I10" s="7"/>
      <c r="J10" s="7"/>
      <c r="K10" s="7"/>
    </row>
    <row r="11" spans="1:14" x14ac:dyDescent="0.25">
      <c r="E11" s="133" t="s">
        <v>37</v>
      </c>
      <c r="F11" s="133">
        <f>SUM(F2:F10)</f>
        <v>558</v>
      </c>
      <c r="G11" s="133">
        <f t="shared" ref="G11:K11" si="0">SUM(G2:G10)</f>
        <v>558</v>
      </c>
      <c r="H11" s="133">
        <f t="shared" si="0"/>
        <v>596</v>
      </c>
      <c r="I11" s="133">
        <f t="shared" si="0"/>
        <v>407</v>
      </c>
      <c r="J11" s="133">
        <f t="shared" si="0"/>
        <v>388</v>
      </c>
      <c r="K11" s="133">
        <f t="shared" si="0"/>
        <v>483</v>
      </c>
    </row>
    <row r="15" spans="1:14" ht="30" x14ac:dyDescent="0.25">
      <c r="E15" s="134" t="s">
        <v>461</v>
      </c>
      <c r="F15" s="133" t="s">
        <v>454</v>
      </c>
      <c r="G15" s="136" t="s">
        <v>455</v>
      </c>
      <c r="H15" s="133" t="s">
        <v>456</v>
      </c>
      <c r="I15" s="133" t="s">
        <v>457</v>
      </c>
      <c r="J15" s="133" t="s">
        <v>458</v>
      </c>
      <c r="K15" s="133" t="s">
        <v>459</v>
      </c>
    </row>
    <row r="16" spans="1:14" x14ac:dyDescent="0.25">
      <c r="E16" s="137">
        <v>44261</v>
      </c>
      <c r="F16" s="7">
        <v>45</v>
      </c>
      <c r="G16" s="71">
        <v>58</v>
      </c>
      <c r="H16" s="7">
        <v>25</v>
      </c>
      <c r="I16" s="7">
        <v>98</v>
      </c>
      <c r="J16" s="7">
        <v>65</v>
      </c>
      <c r="K16" s="7">
        <v>72</v>
      </c>
    </row>
    <row r="17" spans="5:11" x14ac:dyDescent="0.25">
      <c r="E17" s="137">
        <v>44262</v>
      </c>
      <c r="F17" s="7">
        <v>45</v>
      </c>
      <c r="G17" s="71">
        <v>56</v>
      </c>
      <c r="H17" s="7">
        <v>62</v>
      </c>
      <c r="I17" s="7">
        <v>67</v>
      </c>
      <c r="J17" s="7">
        <v>47</v>
      </c>
      <c r="K17" s="7">
        <v>71</v>
      </c>
    </row>
    <row r="18" spans="5:11" x14ac:dyDescent="0.25">
      <c r="E18" s="137">
        <v>44263</v>
      </c>
      <c r="F18" s="7">
        <v>52</v>
      </c>
      <c r="G18" s="71">
        <v>58</v>
      </c>
      <c r="H18" s="7">
        <v>36</v>
      </c>
      <c r="I18" s="7">
        <v>69</v>
      </c>
      <c r="J18" s="7">
        <v>45</v>
      </c>
      <c r="K18" s="7">
        <v>75</v>
      </c>
    </row>
    <row r="19" spans="5:11" x14ac:dyDescent="0.25">
      <c r="E19" s="137">
        <v>44264</v>
      </c>
      <c r="F19" s="7">
        <v>51</v>
      </c>
      <c r="G19" s="71">
        <v>36</v>
      </c>
      <c r="H19" s="7">
        <v>25</v>
      </c>
      <c r="I19" s="7">
        <v>36</v>
      </c>
      <c r="J19" s="7">
        <v>48</v>
      </c>
      <c r="K19" s="7">
        <v>84</v>
      </c>
    </row>
    <row r="20" spans="5:11" x14ac:dyDescent="0.25">
      <c r="E20" s="137">
        <v>44265</v>
      </c>
      <c r="F20" s="7">
        <v>53</v>
      </c>
      <c r="G20" s="71">
        <v>36</v>
      </c>
      <c r="H20" s="7">
        <v>26</v>
      </c>
      <c r="I20" s="7">
        <v>36</v>
      </c>
      <c r="J20" s="7">
        <v>42</v>
      </c>
      <c r="K20" s="7">
        <v>85</v>
      </c>
    </row>
    <row r="21" spans="5:11" x14ac:dyDescent="0.25">
      <c r="E21" s="137">
        <v>44266</v>
      </c>
      <c r="F21" s="7"/>
      <c r="G21" s="71"/>
      <c r="H21" s="7"/>
      <c r="I21" s="7"/>
      <c r="J21" s="7"/>
      <c r="K21" s="7"/>
    </row>
    <row r="22" spans="5:11" x14ac:dyDescent="0.25">
      <c r="E22" s="137">
        <v>44267</v>
      </c>
      <c r="F22" s="7"/>
      <c r="G22" s="71"/>
      <c r="H22" s="7"/>
      <c r="I22" s="7"/>
      <c r="J22" s="7"/>
      <c r="K22" s="7"/>
    </row>
    <row r="23" spans="5:11" x14ac:dyDescent="0.25">
      <c r="E23" s="137">
        <v>44268</v>
      </c>
      <c r="F23" s="7"/>
      <c r="G23" s="71"/>
      <c r="H23" s="7"/>
      <c r="I23" s="7"/>
      <c r="J23" s="7"/>
      <c r="K23" s="7"/>
    </row>
    <row r="24" spans="5:11" x14ac:dyDescent="0.25">
      <c r="E24" s="137">
        <v>44269</v>
      </c>
      <c r="F24" s="7"/>
      <c r="G24" s="71"/>
      <c r="H24" s="7"/>
      <c r="I24" s="7"/>
      <c r="J24" s="7"/>
      <c r="K24" s="7"/>
    </row>
    <row r="25" spans="5:11" x14ac:dyDescent="0.25">
      <c r="E25" s="133" t="s">
        <v>37</v>
      </c>
      <c r="F25" s="133">
        <f>SUM(F16:F24)</f>
        <v>246</v>
      </c>
      <c r="G25" s="133">
        <f t="shared" ref="G25:K25" si="1">SUM(G16:G24)</f>
        <v>244</v>
      </c>
      <c r="H25" s="133">
        <f t="shared" si="1"/>
        <v>174</v>
      </c>
      <c r="I25" s="133">
        <f t="shared" si="1"/>
        <v>306</v>
      </c>
      <c r="J25" s="133">
        <f t="shared" si="1"/>
        <v>247</v>
      </c>
      <c r="K25" s="133">
        <f t="shared" si="1"/>
        <v>387</v>
      </c>
    </row>
  </sheetData>
  <mergeCells count="1">
    <mergeCell ref="M1:N1"/>
  </mergeCells>
  <conditionalFormatting sqref="C2">
    <cfRule type="containsText" dxfId="10" priority="1" operator="containsText" text="Available">
      <formula>NOT(ISERROR(SEARCH("Available",C2)))</formula>
    </cfRule>
    <cfRule type="containsText" dxfId="9" priority="2" operator="containsText" text="Call the office">
      <formula>NOT(ISERROR(SEARCH("Call the office",C2)))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25"/>
  <sheetViews>
    <sheetView workbookViewId="0">
      <selection activeCell="J24" sqref="J24"/>
    </sheetView>
  </sheetViews>
  <sheetFormatPr defaultRowHeight="15" x14ac:dyDescent="0.25"/>
  <cols>
    <col min="1" max="1" width="14.42578125" customWidth="1"/>
    <col min="2" max="2" width="16.85546875" customWidth="1"/>
    <col min="3" max="3" width="11.5703125" customWidth="1"/>
    <col min="6" max="6" width="10.85546875" customWidth="1"/>
    <col min="12" max="12" width="12.5703125" customWidth="1"/>
    <col min="13" max="13" width="11.140625" customWidth="1"/>
  </cols>
  <sheetData>
    <row r="1" spans="1:13" x14ac:dyDescent="0.25">
      <c r="A1" s="287" t="s">
        <v>462</v>
      </c>
      <c r="B1" s="287"/>
      <c r="C1" s="287"/>
      <c r="D1" s="287"/>
      <c r="E1" s="287"/>
      <c r="F1" s="287"/>
      <c r="G1" s="287"/>
      <c r="H1" s="287"/>
      <c r="I1" s="288"/>
    </row>
    <row r="2" spans="1:13" x14ac:dyDescent="0.25">
      <c r="A2" s="289"/>
      <c r="B2" s="289"/>
      <c r="C2" s="289"/>
      <c r="D2" s="289"/>
      <c r="E2" s="289"/>
      <c r="F2" s="289"/>
      <c r="G2" s="289"/>
      <c r="H2" s="289"/>
      <c r="I2" s="290"/>
    </row>
    <row r="3" spans="1:13" x14ac:dyDescent="0.25">
      <c r="A3" s="289"/>
      <c r="B3" s="289"/>
      <c r="C3" s="289"/>
      <c r="D3" s="289"/>
      <c r="E3" s="289"/>
      <c r="F3" s="289"/>
      <c r="G3" s="289"/>
      <c r="H3" s="289"/>
      <c r="I3" s="290"/>
    </row>
    <row r="4" spans="1:13" x14ac:dyDescent="0.25">
      <c r="A4" s="289"/>
      <c r="B4" s="289"/>
      <c r="C4" s="289"/>
      <c r="D4" s="289"/>
      <c r="E4" s="289"/>
      <c r="F4" s="289"/>
      <c r="G4" s="289"/>
      <c r="H4" s="289"/>
      <c r="I4" s="290"/>
    </row>
    <row r="5" spans="1:13" x14ac:dyDescent="0.25">
      <c r="A5" s="289"/>
      <c r="B5" s="289"/>
      <c r="C5" s="289"/>
      <c r="D5" s="289"/>
      <c r="E5" s="289"/>
      <c r="F5" s="289"/>
      <c r="G5" s="289"/>
      <c r="H5" s="289"/>
      <c r="I5" s="290"/>
    </row>
    <row r="6" spans="1:13" x14ac:dyDescent="0.25">
      <c r="A6" s="289"/>
      <c r="B6" s="289"/>
      <c r="C6" s="289"/>
      <c r="D6" s="289"/>
      <c r="E6" s="289"/>
      <c r="F6" s="289"/>
      <c r="G6" s="289"/>
      <c r="H6" s="289"/>
      <c r="I6" s="290"/>
    </row>
    <row r="7" spans="1:13" x14ac:dyDescent="0.25">
      <c r="A7" s="291"/>
      <c r="B7" s="291"/>
      <c r="C7" s="291"/>
      <c r="D7" s="291"/>
      <c r="E7" s="291"/>
      <c r="F7" s="291"/>
      <c r="G7" s="291"/>
      <c r="H7" s="291"/>
      <c r="I7" s="292"/>
    </row>
    <row r="8" spans="1:13" ht="30" x14ac:dyDescent="0.25">
      <c r="A8" s="73" t="s">
        <v>463</v>
      </c>
      <c r="B8" s="73" t="s">
        <v>464</v>
      </c>
      <c r="C8" s="73" t="s">
        <v>465</v>
      </c>
      <c r="D8" s="73" t="s">
        <v>466</v>
      </c>
      <c r="E8" s="73" t="s">
        <v>467</v>
      </c>
      <c r="F8" s="73" t="s">
        <v>468</v>
      </c>
      <c r="G8" s="73" t="s">
        <v>224</v>
      </c>
      <c r="H8" s="73" t="s">
        <v>325</v>
      </c>
      <c r="I8" s="73" t="s">
        <v>411</v>
      </c>
      <c r="L8" s="73" t="s">
        <v>467</v>
      </c>
      <c r="M8" s="73" t="s">
        <v>468</v>
      </c>
    </row>
    <row r="9" spans="1:13" x14ac:dyDescent="0.25">
      <c r="A9" s="7" t="s">
        <v>13</v>
      </c>
      <c r="B9" s="138">
        <v>44264</v>
      </c>
      <c r="C9" s="138">
        <v>44264</v>
      </c>
      <c r="D9" s="19">
        <f>C9-B9</f>
        <v>0</v>
      </c>
      <c r="E9" s="7" t="s">
        <v>469</v>
      </c>
      <c r="F9" s="19" t="str">
        <f>IFERROR(VLOOKUP(E9, $L$9:$M$16, 2, 0), " ")</f>
        <v>Dr Jamil</v>
      </c>
      <c r="G9" s="19">
        <f>IF(AND(D9=0,E9="general"),$M$20,IF(AND(D9=0,E9="vip"),$M$21,IF(AND(D9&gt;0,E9="general"),D9*$M$20,D9*$M$21)))</f>
        <v>2500</v>
      </c>
      <c r="H9" s="19">
        <f>G9*2%</f>
        <v>50</v>
      </c>
      <c r="I9" s="19">
        <f>G9-H9</f>
        <v>2450</v>
      </c>
      <c r="L9" s="7" t="s">
        <v>470</v>
      </c>
      <c r="M9" s="7" t="s">
        <v>471</v>
      </c>
    </row>
    <row r="10" spans="1:13" x14ac:dyDescent="0.25">
      <c r="A10" s="7" t="s">
        <v>22</v>
      </c>
      <c r="B10" s="138">
        <v>44264</v>
      </c>
      <c r="C10" s="138">
        <v>44264</v>
      </c>
      <c r="D10" s="19">
        <f t="shared" ref="D10:D21" si="0">C10-B10</f>
        <v>0</v>
      </c>
      <c r="E10" s="7" t="s">
        <v>470</v>
      </c>
      <c r="F10" s="19" t="str">
        <f t="shared" ref="F10:F21" si="1">IFERROR(VLOOKUP(E10, $L$9:$M$16, 2, 0), " ")</f>
        <v>Dr Ahmed</v>
      </c>
      <c r="G10" s="19">
        <f t="shared" ref="G10:G21" si="2">IF(AND(D10=0,E10="general"),$M$20,IF(AND(D10=0,E10="vip"),$M$21,IF(AND(D10&gt;0,E10="general"),D10*$M$20,D10*$M$21)))</f>
        <v>1200</v>
      </c>
      <c r="H10" s="19">
        <f t="shared" ref="H10:H21" si="3">G10*2%</f>
        <v>24</v>
      </c>
      <c r="I10" s="19">
        <f t="shared" ref="I10:I21" si="4">G10-H10</f>
        <v>1176</v>
      </c>
      <c r="L10" s="7" t="s">
        <v>469</v>
      </c>
      <c r="M10" s="7" t="s">
        <v>472</v>
      </c>
    </row>
    <row r="11" spans="1:13" x14ac:dyDescent="0.25">
      <c r="A11" s="7" t="s">
        <v>97</v>
      </c>
      <c r="B11" s="138">
        <v>44264</v>
      </c>
      <c r="C11" s="138">
        <v>44268</v>
      </c>
      <c r="D11" s="19">
        <f t="shared" si="0"/>
        <v>4</v>
      </c>
      <c r="E11" s="7" t="s">
        <v>469</v>
      </c>
      <c r="F11" s="19" t="str">
        <f t="shared" si="1"/>
        <v>Dr Jamil</v>
      </c>
      <c r="G11" s="19">
        <f t="shared" si="2"/>
        <v>10000</v>
      </c>
      <c r="H11" s="19">
        <f t="shared" si="3"/>
        <v>200</v>
      </c>
      <c r="I11" s="19">
        <f t="shared" si="4"/>
        <v>9800</v>
      </c>
      <c r="L11" s="7"/>
      <c r="M11" s="7"/>
    </row>
    <row r="12" spans="1:13" x14ac:dyDescent="0.25">
      <c r="A12" s="7"/>
      <c r="B12" s="138"/>
      <c r="C12" s="138"/>
      <c r="D12" s="19">
        <f t="shared" si="0"/>
        <v>0</v>
      </c>
      <c r="E12" s="7"/>
      <c r="F12" s="19" t="str">
        <f t="shared" si="1"/>
        <v xml:space="preserve"> </v>
      </c>
      <c r="G12" s="19">
        <f t="shared" si="2"/>
        <v>0</v>
      </c>
      <c r="H12" s="19">
        <f t="shared" si="3"/>
        <v>0</v>
      </c>
      <c r="I12" s="19">
        <f t="shared" si="4"/>
        <v>0</v>
      </c>
      <c r="L12" s="7"/>
      <c r="M12" s="7"/>
    </row>
    <row r="13" spans="1:13" x14ac:dyDescent="0.25">
      <c r="A13" s="7"/>
      <c r="B13" s="138"/>
      <c r="C13" s="138"/>
      <c r="D13" s="19">
        <f t="shared" si="0"/>
        <v>0</v>
      </c>
      <c r="E13" s="7"/>
      <c r="F13" s="19" t="str">
        <f t="shared" si="1"/>
        <v xml:space="preserve"> </v>
      </c>
      <c r="G13" s="19">
        <f t="shared" si="2"/>
        <v>0</v>
      </c>
      <c r="H13" s="19">
        <f t="shared" si="3"/>
        <v>0</v>
      </c>
      <c r="I13" s="19">
        <f t="shared" si="4"/>
        <v>0</v>
      </c>
      <c r="L13" s="7"/>
      <c r="M13" s="7"/>
    </row>
    <row r="14" spans="1:13" x14ac:dyDescent="0.25">
      <c r="A14" s="7"/>
      <c r="B14" s="138"/>
      <c r="C14" s="138"/>
      <c r="D14" s="19">
        <f t="shared" si="0"/>
        <v>0</v>
      </c>
      <c r="E14" s="7"/>
      <c r="F14" s="19" t="str">
        <f t="shared" si="1"/>
        <v xml:space="preserve"> </v>
      </c>
      <c r="G14" s="19">
        <f t="shared" si="2"/>
        <v>0</v>
      </c>
      <c r="H14" s="19">
        <f t="shared" si="3"/>
        <v>0</v>
      </c>
      <c r="I14" s="19">
        <f t="shared" si="4"/>
        <v>0</v>
      </c>
      <c r="L14" s="7"/>
      <c r="M14" s="7"/>
    </row>
    <row r="15" spans="1:13" x14ac:dyDescent="0.25">
      <c r="A15" s="7"/>
      <c r="B15" s="138"/>
      <c r="C15" s="138"/>
      <c r="D15" s="19">
        <f t="shared" si="0"/>
        <v>0</v>
      </c>
      <c r="E15" s="7"/>
      <c r="F15" s="19" t="str">
        <f t="shared" si="1"/>
        <v xml:space="preserve"> </v>
      </c>
      <c r="G15" s="19">
        <f t="shared" si="2"/>
        <v>0</v>
      </c>
      <c r="H15" s="19">
        <f t="shared" si="3"/>
        <v>0</v>
      </c>
      <c r="I15" s="19">
        <f t="shared" si="4"/>
        <v>0</v>
      </c>
      <c r="L15" s="7"/>
      <c r="M15" s="7"/>
    </row>
    <row r="16" spans="1:13" x14ac:dyDescent="0.25">
      <c r="A16" s="7"/>
      <c r="B16" s="138"/>
      <c r="C16" s="138"/>
      <c r="D16" s="19">
        <f t="shared" si="0"/>
        <v>0</v>
      </c>
      <c r="E16" s="7"/>
      <c r="F16" s="19" t="str">
        <f t="shared" si="1"/>
        <v xml:space="preserve"> </v>
      </c>
      <c r="G16" s="19">
        <f t="shared" si="2"/>
        <v>0</v>
      </c>
      <c r="H16" s="19">
        <f t="shared" si="3"/>
        <v>0</v>
      </c>
      <c r="I16" s="19">
        <f t="shared" si="4"/>
        <v>0</v>
      </c>
      <c r="L16" s="7"/>
      <c r="M16" s="7"/>
    </row>
    <row r="17" spans="1:13" x14ac:dyDescent="0.25">
      <c r="A17" s="7"/>
      <c r="B17" s="138"/>
      <c r="C17" s="138"/>
      <c r="D17" s="19">
        <f t="shared" si="0"/>
        <v>0</v>
      </c>
      <c r="E17" s="7"/>
      <c r="F17" s="19" t="str">
        <f t="shared" si="1"/>
        <v xml:space="preserve"> </v>
      </c>
      <c r="G17" s="19">
        <f t="shared" si="2"/>
        <v>0</v>
      </c>
      <c r="H17" s="19">
        <f t="shared" si="3"/>
        <v>0</v>
      </c>
      <c r="I17" s="19">
        <f t="shared" si="4"/>
        <v>0</v>
      </c>
    </row>
    <row r="18" spans="1:13" x14ac:dyDescent="0.25">
      <c r="A18" s="7"/>
      <c r="B18" s="138"/>
      <c r="C18" s="138"/>
      <c r="D18" s="19">
        <f t="shared" si="0"/>
        <v>0</v>
      </c>
      <c r="E18" s="7"/>
      <c r="F18" s="19" t="str">
        <f t="shared" si="1"/>
        <v xml:space="preserve"> </v>
      </c>
      <c r="G18" s="19">
        <f t="shared" si="2"/>
        <v>0</v>
      </c>
      <c r="H18" s="19">
        <f t="shared" si="3"/>
        <v>0</v>
      </c>
      <c r="I18" s="19">
        <f t="shared" si="4"/>
        <v>0</v>
      </c>
    </row>
    <row r="19" spans="1:13" x14ac:dyDescent="0.25">
      <c r="A19" s="7"/>
      <c r="B19" s="138"/>
      <c r="C19" s="138"/>
      <c r="D19" s="19">
        <f t="shared" si="0"/>
        <v>0</v>
      </c>
      <c r="E19" s="7"/>
      <c r="F19" s="19" t="str">
        <f t="shared" si="1"/>
        <v xml:space="preserve"> </v>
      </c>
      <c r="G19" s="19">
        <f t="shared" si="2"/>
        <v>0</v>
      </c>
      <c r="H19" s="19">
        <f t="shared" si="3"/>
        <v>0</v>
      </c>
      <c r="I19" s="19">
        <f t="shared" si="4"/>
        <v>0</v>
      </c>
      <c r="L19" s="293" t="s">
        <v>190</v>
      </c>
      <c r="M19" s="293"/>
    </row>
    <row r="20" spans="1:13" x14ac:dyDescent="0.25">
      <c r="A20" s="7"/>
      <c r="B20" s="138"/>
      <c r="C20" s="138"/>
      <c r="D20" s="19">
        <f t="shared" si="0"/>
        <v>0</v>
      </c>
      <c r="E20" s="7"/>
      <c r="F20" s="19" t="str">
        <f t="shared" si="1"/>
        <v xml:space="preserve"> </v>
      </c>
      <c r="G20" s="19">
        <f t="shared" si="2"/>
        <v>0</v>
      </c>
      <c r="H20" s="19">
        <f t="shared" si="3"/>
        <v>0</v>
      </c>
      <c r="I20" s="19">
        <f t="shared" si="4"/>
        <v>0</v>
      </c>
      <c r="L20" s="139" t="s">
        <v>473</v>
      </c>
      <c r="M20" s="7">
        <v>1200</v>
      </c>
    </row>
    <row r="21" spans="1:13" x14ac:dyDescent="0.25">
      <c r="A21" s="7"/>
      <c r="B21" s="138"/>
      <c r="C21" s="138"/>
      <c r="D21" s="19">
        <f t="shared" si="0"/>
        <v>0</v>
      </c>
      <c r="E21" s="7"/>
      <c r="F21" s="19" t="str">
        <f t="shared" si="1"/>
        <v xml:space="preserve"> </v>
      </c>
      <c r="G21" s="19">
        <f t="shared" si="2"/>
        <v>0</v>
      </c>
      <c r="H21" s="19">
        <f t="shared" si="3"/>
        <v>0</v>
      </c>
      <c r="I21" s="19">
        <f t="shared" si="4"/>
        <v>0</v>
      </c>
      <c r="L21" s="139" t="s">
        <v>469</v>
      </c>
      <c r="M21" s="7">
        <v>2500</v>
      </c>
    </row>
    <row r="25" spans="1:13" x14ac:dyDescent="0.25">
      <c r="B25" s="51"/>
      <c r="C25" s="51"/>
    </row>
  </sheetData>
  <mergeCells count="2">
    <mergeCell ref="A1:I7"/>
    <mergeCell ref="L19:M19"/>
  </mergeCells>
  <dataValidations count="1">
    <dataValidation type="list" allowBlank="1" showInputMessage="1" showErrorMessage="1" sqref="E9:E21" xr:uid="{00000000-0002-0000-1A00-000000000000}">
      <formula1>$L$9:$L$10</formula1>
    </dataValidation>
  </dataValidation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AJ20"/>
  <sheetViews>
    <sheetView topLeftCell="B1" zoomScaleNormal="100" workbookViewId="0">
      <selection activeCell="D4" sqref="D4"/>
    </sheetView>
  </sheetViews>
  <sheetFormatPr defaultRowHeight="15" x14ac:dyDescent="0.25"/>
  <cols>
    <col min="1" max="1" width="63.42578125" style="36" customWidth="1"/>
    <col min="2" max="2" width="6.140625" style="36" bestFit="1" customWidth="1"/>
    <col min="3" max="3" width="20.140625" style="175" bestFit="1" customWidth="1"/>
    <col min="4" max="4" width="10.7109375" bestFit="1" customWidth="1"/>
    <col min="5" max="5" width="4.42578125" bestFit="1" customWidth="1"/>
    <col min="6" max="6" width="5.28515625" bestFit="1" customWidth="1"/>
    <col min="7" max="7" width="5.140625" bestFit="1" customWidth="1"/>
    <col min="8" max="8" width="5" customWidth="1"/>
    <col min="9" max="9" width="5.140625" bestFit="1" customWidth="1"/>
    <col min="10" max="10" width="4.42578125" bestFit="1" customWidth="1"/>
    <col min="11" max="11" width="5.28515625" bestFit="1" customWidth="1"/>
    <col min="12" max="12" width="4.42578125" bestFit="1" customWidth="1"/>
    <col min="13" max="13" width="5.28515625" bestFit="1" customWidth="1"/>
    <col min="14" max="15" width="5.28515625" customWidth="1"/>
    <col min="16" max="16" width="5.140625" bestFit="1" customWidth="1"/>
    <col min="17" max="17" width="4.42578125" bestFit="1" customWidth="1"/>
    <col min="18" max="18" width="5.28515625" bestFit="1" customWidth="1"/>
    <col min="19" max="19" width="4.42578125" bestFit="1" customWidth="1"/>
    <col min="20" max="20" width="5.28515625" bestFit="1" customWidth="1"/>
    <col min="21" max="21" width="4.42578125" bestFit="1" customWidth="1"/>
    <col min="22" max="22" width="3.42578125" bestFit="1" customWidth="1"/>
    <col min="23" max="23" width="5.140625" bestFit="1" customWidth="1"/>
    <col min="24" max="24" width="4.42578125" bestFit="1" customWidth="1"/>
    <col min="25" max="25" width="5.28515625" bestFit="1" customWidth="1"/>
    <col min="26" max="26" width="4.42578125" bestFit="1" customWidth="1"/>
    <col min="27" max="27" width="5.28515625" bestFit="1" customWidth="1"/>
    <col min="28" max="28" width="4.42578125" bestFit="1" customWidth="1"/>
    <col min="29" max="29" width="3.42578125" bestFit="1" customWidth="1"/>
    <col min="30" max="30" width="5" bestFit="1" customWidth="1"/>
    <col min="31" max="33" width="4.5703125" customWidth="1"/>
    <col min="34" max="34" width="11.42578125" bestFit="1" customWidth="1"/>
    <col min="35" max="35" width="6" bestFit="1" customWidth="1"/>
    <col min="36" max="36" width="18.28515625" bestFit="1" customWidth="1"/>
  </cols>
  <sheetData>
    <row r="2" spans="1:36" x14ac:dyDescent="0.25">
      <c r="B2" s="36" t="s">
        <v>526</v>
      </c>
      <c r="C2" s="177">
        <v>45901</v>
      </c>
    </row>
    <row r="4" spans="1:36" x14ac:dyDescent="0.25">
      <c r="A4" s="120" t="s">
        <v>514</v>
      </c>
      <c r="B4" s="120" t="s">
        <v>515</v>
      </c>
      <c r="C4" s="173" t="s">
        <v>0</v>
      </c>
      <c r="D4" s="178">
        <f>C2</f>
        <v>45901</v>
      </c>
      <c r="E4" s="178">
        <f>D4+1</f>
        <v>45902</v>
      </c>
      <c r="F4" s="178">
        <f t="shared" ref="F4:AC4" si="0">E4+1</f>
        <v>45903</v>
      </c>
      <c r="G4" s="178">
        <f t="shared" si="0"/>
        <v>45904</v>
      </c>
      <c r="H4" s="178">
        <f t="shared" si="0"/>
        <v>45905</v>
      </c>
      <c r="I4" s="178">
        <f t="shared" si="0"/>
        <v>45906</v>
      </c>
      <c r="J4" s="178">
        <f t="shared" si="0"/>
        <v>45907</v>
      </c>
      <c r="K4" s="178">
        <f t="shared" si="0"/>
        <v>45908</v>
      </c>
      <c r="L4" s="178">
        <f t="shared" si="0"/>
        <v>45909</v>
      </c>
      <c r="M4" s="178">
        <f t="shared" si="0"/>
        <v>45910</v>
      </c>
      <c r="N4" s="178">
        <f t="shared" si="0"/>
        <v>45911</v>
      </c>
      <c r="O4" s="178">
        <f t="shared" si="0"/>
        <v>45912</v>
      </c>
      <c r="P4" s="178">
        <f t="shared" si="0"/>
        <v>45913</v>
      </c>
      <c r="Q4" s="178">
        <f t="shared" si="0"/>
        <v>45914</v>
      </c>
      <c r="R4" s="178">
        <f t="shared" si="0"/>
        <v>45915</v>
      </c>
      <c r="S4" s="178">
        <f t="shared" si="0"/>
        <v>45916</v>
      </c>
      <c r="T4" s="178">
        <f t="shared" si="0"/>
        <v>45917</v>
      </c>
      <c r="U4" s="178">
        <f t="shared" si="0"/>
        <v>45918</v>
      </c>
      <c r="V4" s="178">
        <f t="shared" si="0"/>
        <v>45919</v>
      </c>
      <c r="W4" s="178">
        <f t="shared" si="0"/>
        <v>45920</v>
      </c>
      <c r="X4" s="178">
        <f t="shared" si="0"/>
        <v>45921</v>
      </c>
      <c r="Y4" s="178">
        <f t="shared" si="0"/>
        <v>45922</v>
      </c>
      <c r="Z4" s="178">
        <f t="shared" si="0"/>
        <v>45923</v>
      </c>
      <c r="AA4" s="178">
        <f t="shared" si="0"/>
        <v>45924</v>
      </c>
      <c r="AB4" s="178">
        <f t="shared" si="0"/>
        <v>45925</v>
      </c>
      <c r="AC4" s="178">
        <f t="shared" si="0"/>
        <v>45926</v>
      </c>
      <c r="AD4" s="121" t="s">
        <v>513</v>
      </c>
      <c r="AE4" s="120" t="s">
        <v>394</v>
      </c>
      <c r="AF4" s="120" t="s">
        <v>40</v>
      </c>
      <c r="AG4" s="120" t="s">
        <v>395</v>
      </c>
      <c r="AH4" s="120" t="s">
        <v>95</v>
      </c>
      <c r="AI4" s="120" t="s">
        <v>7</v>
      </c>
      <c r="AJ4" s="120" t="s">
        <v>432</v>
      </c>
    </row>
    <row r="5" spans="1:36" x14ac:dyDescent="0.25">
      <c r="A5" s="120"/>
      <c r="B5" s="120"/>
      <c r="C5" s="173"/>
      <c r="D5" s="179">
        <f>C2</f>
        <v>45901</v>
      </c>
      <c r="E5" s="179">
        <f>D5+1</f>
        <v>45902</v>
      </c>
      <c r="F5" s="179">
        <f t="shared" ref="F5:AC5" si="1">E5+1</f>
        <v>45903</v>
      </c>
      <c r="G5" s="179">
        <f t="shared" si="1"/>
        <v>45904</v>
      </c>
      <c r="H5" s="179">
        <f t="shared" si="1"/>
        <v>45905</v>
      </c>
      <c r="I5" s="179">
        <f t="shared" si="1"/>
        <v>45906</v>
      </c>
      <c r="J5" s="179">
        <f t="shared" si="1"/>
        <v>45907</v>
      </c>
      <c r="K5" s="179">
        <f t="shared" si="1"/>
        <v>45908</v>
      </c>
      <c r="L5" s="179">
        <f t="shared" si="1"/>
        <v>45909</v>
      </c>
      <c r="M5" s="179">
        <f t="shared" si="1"/>
        <v>45910</v>
      </c>
      <c r="N5" s="179">
        <f t="shared" si="1"/>
        <v>45911</v>
      </c>
      <c r="O5" s="179">
        <f t="shared" si="1"/>
        <v>45912</v>
      </c>
      <c r="P5" s="179">
        <f t="shared" si="1"/>
        <v>45913</v>
      </c>
      <c r="Q5" s="179">
        <f t="shared" si="1"/>
        <v>45914</v>
      </c>
      <c r="R5" s="179">
        <f t="shared" si="1"/>
        <v>45915</v>
      </c>
      <c r="S5" s="179">
        <f t="shared" si="1"/>
        <v>45916</v>
      </c>
      <c r="T5" s="179">
        <f t="shared" si="1"/>
        <v>45917</v>
      </c>
      <c r="U5" s="179">
        <f t="shared" si="1"/>
        <v>45918</v>
      </c>
      <c r="V5" s="179">
        <f t="shared" si="1"/>
        <v>45919</v>
      </c>
      <c r="W5" s="179">
        <f t="shared" si="1"/>
        <v>45920</v>
      </c>
      <c r="X5" s="179">
        <f t="shared" si="1"/>
        <v>45921</v>
      </c>
      <c r="Y5" s="179">
        <f t="shared" si="1"/>
        <v>45922</v>
      </c>
      <c r="Z5" s="179">
        <f t="shared" si="1"/>
        <v>45923</v>
      </c>
      <c r="AA5" s="179">
        <f t="shared" si="1"/>
        <v>45924</v>
      </c>
      <c r="AB5" s="179">
        <f t="shared" si="1"/>
        <v>45925</v>
      </c>
      <c r="AC5" s="179">
        <f t="shared" si="1"/>
        <v>45926</v>
      </c>
      <c r="AD5" s="121"/>
      <c r="AE5" s="120"/>
      <c r="AF5" s="120"/>
      <c r="AG5" s="120"/>
      <c r="AH5" s="120"/>
      <c r="AI5" s="120"/>
      <c r="AJ5" s="120"/>
    </row>
    <row r="6" spans="1:36" ht="15" customHeight="1" x14ac:dyDescent="0.25">
      <c r="A6" s="181">
        <f>IF(ISBLANK(C6),"",MAX(A5:$A$5)+1)</f>
        <v>1</v>
      </c>
      <c r="B6" s="7" t="s">
        <v>516</v>
      </c>
      <c r="C6" s="139" t="s">
        <v>475</v>
      </c>
      <c r="D6" s="97" t="s">
        <v>394</v>
      </c>
      <c r="E6" s="97" t="s">
        <v>394</v>
      </c>
      <c r="F6" s="97" t="s">
        <v>394</v>
      </c>
      <c r="G6" s="97" t="s">
        <v>394</v>
      </c>
      <c r="H6" s="97" t="s">
        <v>395</v>
      </c>
      <c r="I6" s="97" t="s">
        <v>395</v>
      </c>
      <c r="J6" s="97" t="s">
        <v>394</v>
      </c>
      <c r="K6" s="97" t="s">
        <v>394</v>
      </c>
      <c r="L6" s="97" t="s">
        <v>394</v>
      </c>
      <c r="M6" s="97" t="s">
        <v>394</v>
      </c>
      <c r="N6" s="97" t="s">
        <v>394</v>
      </c>
      <c r="O6" s="97" t="s">
        <v>40</v>
      </c>
      <c r="P6" s="97" t="s">
        <v>40</v>
      </c>
      <c r="Q6" s="97" t="s">
        <v>40</v>
      </c>
      <c r="R6" s="97" t="s">
        <v>40</v>
      </c>
      <c r="S6" s="97" t="s">
        <v>40</v>
      </c>
      <c r="T6" s="97" t="s">
        <v>40</v>
      </c>
      <c r="U6" s="97" t="s">
        <v>40</v>
      </c>
      <c r="V6" s="97" t="s">
        <v>40</v>
      </c>
      <c r="W6" s="97" t="s">
        <v>394</v>
      </c>
      <c r="X6" s="97" t="s">
        <v>394</v>
      </c>
      <c r="Y6" s="97" t="s">
        <v>394</v>
      </c>
      <c r="Z6" s="97" t="s">
        <v>394</v>
      </c>
      <c r="AA6" s="97" t="s">
        <v>394</v>
      </c>
      <c r="AB6" s="97" t="s">
        <v>394</v>
      </c>
      <c r="AC6" s="97" t="s">
        <v>394</v>
      </c>
      <c r="AD6" s="7">
        <v>26</v>
      </c>
      <c r="AE6" s="176">
        <f>COUNTIF(D6:AC6,"P")</f>
        <v>16</v>
      </c>
      <c r="AF6" s="176">
        <f>COUNTIF(D6:AC6,"A")</f>
        <v>8</v>
      </c>
      <c r="AG6" s="176">
        <f>COUNTIF(D6:AC6,"L")</f>
        <v>2</v>
      </c>
      <c r="AH6" s="7" t="str">
        <f>IF(AF6=0, "Excellent!", IF(AF6=1, "Good", IF(AF6=2, "Fair", IF(AF6=3, "Be Punctual", IF(AF6=4, "Plz Contact", "Struck off")))))</f>
        <v>Struck off</v>
      </c>
      <c r="AI6" s="132">
        <f>AE6*100/26</f>
        <v>61.53846153846154</v>
      </c>
      <c r="AJ6" s="39" t="str">
        <f>IF(AND(AI6&gt;70, AI6&lt;=100),"Eligible","Not Eligible")</f>
        <v>Not Eligible</v>
      </c>
    </row>
    <row r="7" spans="1:36" ht="15.75" x14ac:dyDescent="0.25">
      <c r="A7" s="181">
        <f>IF(ISBLANK(C7),"",MAX(A$5:$A6)+1)</f>
        <v>2</v>
      </c>
      <c r="B7" s="7" t="s">
        <v>517</v>
      </c>
      <c r="C7" s="139" t="s">
        <v>476</v>
      </c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7">
        <v>26</v>
      </c>
      <c r="AE7" s="176">
        <f t="shared" ref="AE7:AE13" si="2">COUNTIF(D7:AC7,"P")</f>
        <v>0</v>
      </c>
      <c r="AF7" s="176"/>
      <c r="AG7" s="176"/>
      <c r="AH7" s="7" t="str">
        <f t="shared" ref="AH7:AH14" si="3">IF(AF7=0, "Excellent!", IF(AF7=1, "Good", IF(AF7=2, "Fair", IF(AF7=3, "Be Punctual", IF(AF7=4, "Plz Contact", "Struck off")))))</f>
        <v>Excellent!</v>
      </c>
      <c r="AI7" s="132">
        <f t="shared" ref="AI7:AI17" si="4">AE7*100/26</f>
        <v>0</v>
      </c>
      <c r="AJ7" s="39" t="str">
        <f t="shared" ref="AJ7:AJ14" si="5">IF(AND(AI7&gt;70, AI7&lt;=100),"Eligible","Not Eligible")</f>
        <v>Not Eligible</v>
      </c>
    </row>
    <row r="8" spans="1:36" ht="15.75" x14ac:dyDescent="0.25">
      <c r="A8" s="181">
        <f>IF(ISBLANK(C8),"",MAX(A$5:$A7)+1)</f>
        <v>3</v>
      </c>
      <c r="B8" s="7" t="s">
        <v>518</v>
      </c>
      <c r="C8" s="139" t="s">
        <v>477</v>
      </c>
      <c r="D8" s="97" t="s">
        <v>40</v>
      </c>
      <c r="E8" s="97" t="s">
        <v>40</v>
      </c>
      <c r="F8" s="97" t="s">
        <v>394</v>
      </c>
      <c r="G8" s="97" t="s">
        <v>394</v>
      </c>
      <c r="H8" s="97" t="s">
        <v>394</v>
      </c>
      <c r="I8" s="97" t="s">
        <v>394</v>
      </c>
      <c r="J8" s="97" t="s">
        <v>394</v>
      </c>
      <c r="K8" s="97" t="s">
        <v>394</v>
      </c>
      <c r="L8" s="97" t="s">
        <v>394</v>
      </c>
      <c r="M8" s="97" t="s">
        <v>394</v>
      </c>
      <c r="N8" s="97" t="s">
        <v>394</v>
      </c>
      <c r="O8" s="97" t="s">
        <v>40</v>
      </c>
      <c r="P8" s="97" t="s">
        <v>394</v>
      </c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7">
        <v>26</v>
      </c>
      <c r="AE8" s="176">
        <f t="shared" si="2"/>
        <v>10</v>
      </c>
      <c r="AF8" s="176"/>
      <c r="AG8" s="176"/>
      <c r="AH8" s="7" t="str">
        <f t="shared" si="3"/>
        <v>Excellent!</v>
      </c>
      <c r="AI8" s="132">
        <f t="shared" si="4"/>
        <v>38.46153846153846</v>
      </c>
      <c r="AJ8" s="39" t="str">
        <f t="shared" si="5"/>
        <v>Not Eligible</v>
      </c>
    </row>
    <row r="9" spans="1:36" ht="15.75" x14ac:dyDescent="0.25">
      <c r="A9" s="181">
        <f>IF(ISBLANK(C9),"",MAX(A$5:$A8)+1)</f>
        <v>4</v>
      </c>
      <c r="B9" s="7" t="s">
        <v>519</v>
      </c>
      <c r="C9" s="139" t="s">
        <v>478</v>
      </c>
      <c r="D9" s="97" t="s">
        <v>394</v>
      </c>
      <c r="E9" s="97" t="s">
        <v>40</v>
      </c>
      <c r="F9" s="97" t="s">
        <v>394</v>
      </c>
      <c r="G9" s="97" t="s">
        <v>394</v>
      </c>
      <c r="H9" s="97" t="s">
        <v>394</v>
      </c>
      <c r="I9" s="97" t="s">
        <v>40</v>
      </c>
      <c r="J9" s="97" t="s">
        <v>40</v>
      </c>
      <c r="K9" s="97" t="s">
        <v>40</v>
      </c>
      <c r="L9" s="97" t="s">
        <v>394</v>
      </c>
      <c r="M9" s="97" t="s">
        <v>40</v>
      </c>
      <c r="N9" s="97" t="s">
        <v>40</v>
      </c>
      <c r="O9" s="97" t="s">
        <v>40</v>
      </c>
      <c r="P9" s="97" t="s">
        <v>394</v>
      </c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7">
        <v>26</v>
      </c>
      <c r="AE9" s="176">
        <f t="shared" si="2"/>
        <v>6</v>
      </c>
      <c r="AF9" s="176"/>
      <c r="AG9" s="176"/>
      <c r="AH9" s="7" t="str">
        <f t="shared" si="3"/>
        <v>Excellent!</v>
      </c>
      <c r="AI9" s="132">
        <f t="shared" si="4"/>
        <v>23.076923076923077</v>
      </c>
      <c r="AJ9" s="39" t="str">
        <f t="shared" si="5"/>
        <v>Not Eligible</v>
      </c>
    </row>
    <row r="10" spans="1:36" ht="15.75" x14ac:dyDescent="0.25">
      <c r="A10" s="181">
        <f>IF(ISBLANK(C10),"",MAX(A$5:$A9)+1)</f>
        <v>5</v>
      </c>
      <c r="B10" s="7" t="s">
        <v>520</v>
      </c>
      <c r="C10" s="139" t="s">
        <v>479</v>
      </c>
      <c r="D10" s="97" t="s">
        <v>40</v>
      </c>
      <c r="E10" s="97" t="s">
        <v>40</v>
      </c>
      <c r="F10" s="97" t="s">
        <v>40</v>
      </c>
      <c r="G10" s="97" t="s">
        <v>40</v>
      </c>
      <c r="H10" s="97" t="s">
        <v>40</v>
      </c>
      <c r="I10" s="97" t="s">
        <v>40</v>
      </c>
      <c r="J10" s="97" t="s">
        <v>40</v>
      </c>
      <c r="K10" s="97" t="s">
        <v>394</v>
      </c>
      <c r="L10" s="97" t="s">
        <v>40</v>
      </c>
      <c r="M10" s="97" t="s">
        <v>40</v>
      </c>
      <c r="N10" s="97" t="s">
        <v>40</v>
      </c>
      <c r="O10" s="97" t="s">
        <v>40</v>
      </c>
      <c r="P10" s="97" t="s">
        <v>40</v>
      </c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7">
        <v>26</v>
      </c>
      <c r="AE10" s="176">
        <f t="shared" si="2"/>
        <v>1</v>
      </c>
      <c r="AF10" s="176"/>
      <c r="AG10" s="176"/>
      <c r="AH10" s="7" t="str">
        <f t="shared" si="3"/>
        <v>Excellent!</v>
      </c>
      <c r="AI10" s="132">
        <f t="shared" si="4"/>
        <v>3.8461538461538463</v>
      </c>
      <c r="AJ10" s="39" t="str">
        <f t="shared" si="5"/>
        <v>Not Eligible</v>
      </c>
    </row>
    <row r="11" spans="1:36" ht="15.75" x14ac:dyDescent="0.25">
      <c r="A11" s="181">
        <f>IF(ISBLANK(C11),"",MAX(A$5:$A10)+1)</f>
        <v>6</v>
      </c>
      <c r="B11" s="7" t="s">
        <v>521</v>
      </c>
      <c r="C11" s="139" t="s">
        <v>480</v>
      </c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7">
        <v>26</v>
      </c>
      <c r="AE11" s="176">
        <f t="shared" si="2"/>
        <v>0</v>
      </c>
      <c r="AF11" s="176"/>
      <c r="AG11" s="176"/>
      <c r="AH11" s="7" t="str">
        <f t="shared" si="3"/>
        <v>Excellent!</v>
      </c>
      <c r="AI11" s="132">
        <f t="shared" si="4"/>
        <v>0</v>
      </c>
      <c r="AJ11" s="39" t="str">
        <f t="shared" si="5"/>
        <v>Not Eligible</v>
      </c>
    </row>
    <row r="12" spans="1:36" ht="15.75" x14ac:dyDescent="0.25">
      <c r="A12" s="181">
        <f>IF(ISBLANK(C12),"",MAX(A$5:$A11)+1)</f>
        <v>7</v>
      </c>
      <c r="B12" s="7" t="s">
        <v>522</v>
      </c>
      <c r="C12" s="139" t="s">
        <v>481</v>
      </c>
      <c r="D12" s="152" t="s">
        <v>394</v>
      </c>
      <c r="E12" s="152" t="s">
        <v>394</v>
      </c>
      <c r="F12" s="97" t="s">
        <v>40</v>
      </c>
      <c r="G12" s="97" t="s">
        <v>394</v>
      </c>
      <c r="H12" s="97" t="s">
        <v>394</v>
      </c>
      <c r="I12" s="97" t="s">
        <v>40</v>
      </c>
      <c r="J12" s="97" t="s">
        <v>40</v>
      </c>
      <c r="K12" s="97" t="s">
        <v>394</v>
      </c>
      <c r="L12" s="97" t="s">
        <v>40</v>
      </c>
      <c r="M12" s="97" t="s">
        <v>40</v>
      </c>
      <c r="N12" s="97" t="s">
        <v>40</v>
      </c>
      <c r="O12" s="97" t="s">
        <v>40</v>
      </c>
      <c r="P12" s="97" t="s">
        <v>40</v>
      </c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7">
        <v>26</v>
      </c>
      <c r="AE12" s="176">
        <f t="shared" si="2"/>
        <v>5</v>
      </c>
      <c r="AF12" s="176"/>
      <c r="AG12" s="176"/>
      <c r="AH12" s="7" t="str">
        <f t="shared" si="3"/>
        <v>Excellent!</v>
      </c>
      <c r="AI12" s="132">
        <f t="shared" si="4"/>
        <v>19.23076923076923</v>
      </c>
      <c r="AJ12" s="39" t="str">
        <f t="shared" si="5"/>
        <v>Not Eligible</v>
      </c>
    </row>
    <row r="13" spans="1:36" ht="15.75" x14ac:dyDescent="0.25">
      <c r="A13" s="181">
        <f>IF(ISBLANK(C13),"",MAX(A$5:$A12)+1)</f>
        <v>8</v>
      </c>
      <c r="B13" s="7" t="s">
        <v>523</v>
      </c>
      <c r="C13" s="139" t="s">
        <v>482</v>
      </c>
      <c r="D13" s="97" t="s">
        <v>394</v>
      </c>
      <c r="E13" s="97" t="s">
        <v>394</v>
      </c>
      <c r="F13" s="97" t="s">
        <v>394</v>
      </c>
      <c r="G13" s="97" t="s">
        <v>40</v>
      </c>
      <c r="H13" s="97" t="s">
        <v>394</v>
      </c>
      <c r="I13" s="97" t="s">
        <v>394</v>
      </c>
      <c r="J13" s="97" t="s">
        <v>40</v>
      </c>
      <c r="K13" s="97" t="s">
        <v>40</v>
      </c>
      <c r="L13" s="97" t="s">
        <v>40</v>
      </c>
      <c r="M13" s="97" t="s">
        <v>40</v>
      </c>
      <c r="N13" s="97" t="s">
        <v>40</v>
      </c>
      <c r="O13" s="97" t="s">
        <v>40</v>
      </c>
      <c r="P13" s="97" t="s">
        <v>40</v>
      </c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7">
        <v>26</v>
      </c>
      <c r="AE13" s="176">
        <f t="shared" si="2"/>
        <v>5</v>
      </c>
      <c r="AF13" s="176"/>
      <c r="AG13" s="176"/>
      <c r="AH13" s="7" t="str">
        <f t="shared" si="3"/>
        <v>Excellent!</v>
      </c>
      <c r="AI13" s="132">
        <f t="shared" si="4"/>
        <v>19.23076923076923</v>
      </c>
      <c r="AJ13" s="39" t="str">
        <f t="shared" si="5"/>
        <v>Not Eligible</v>
      </c>
    </row>
    <row r="14" spans="1:36" ht="15.75" x14ac:dyDescent="0.25">
      <c r="A14" s="181">
        <f>IF(ISBLANK(C14),"",MAX(A$5:$A13)+1)</f>
        <v>9</v>
      </c>
      <c r="B14" s="7" t="s">
        <v>524</v>
      </c>
      <c r="C14" s="139" t="s">
        <v>483</v>
      </c>
      <c r="D14" s="152"/>
      <c r="E14" s="152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7">
        <v>26</v>
      </c>
      <c r="AE14" s="176">
        <f t="shared" ref="AE14" si="6">COUNTIF(D14:AC14, "P")</f>
        <v>0</v>
      </c>
      <c r="AF14" s="176">
        <f t="shared" ref="AF14" si="7">COUNTIF(D14:AC14, "A")</f>
        <v>0</v>
      </c>
      <c r="AG14" s="176">
        <f t="shared" ref="AG14" si="8">COUNTIF(D14:AC14, "L")</f>
        <v>0</v>
      </c>
      <c r="AH14" s="7" t="str">
        <f t="shared" si="3"/>
        <v>Excellent!</v>
      </c>
      <c r="AI14" s="132">
        <f t="shared" si="4"/>
        <v>0</v>
      </c>
      <c r="AJ14" s="39" t="str">
        <f t="shared" si="5"/>
        <v>Not Eligible</v>
      </c>
    </row>
    <row r="15" spans="1:36" ht="15.75" x14ac:dyDescent="0.25">
      <c r="A15" s="181">
        <f>IF(ISBLANK(C15),"",MAX(A$5:$A14)+1)</f>
        <v>10</v>
      </c>
      <c r="B15" s="7" t="s">
        <v>525</v>
      </c>
      <c r="C15" s="139" t="s">
        <v>501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132">
        <f t="shared" si="4"/>
        <v>0</v>
      </c>
      <c r="AJ15" s="39"/>
    </row>
    <row r="16" spans="1:36" x14ac:dyDescent="0.25">
      <c r="A16" s="7"/>
      <c r="B16" s="7"/>
      <c r="C16" s="174" t="s">
        <v>502</v>
      </c>
      <c r="D16" s="166">
        <v>45803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132">
        <f t="shared" si="4"/>
        <v>0</v>
      </c>
      <c r="AJ16" s="39"/>
    </row>
    <row r="17" spans="1:36" x14ac:dyDescent="0.25">
      <c r="A17" s="7"/>
      <c r="B17" s="7"/>
      <c r="C17" s="13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132">
        <f t="shared" si="4"/>
        <v>0</v>
      </c>
      <c r="AJ17" s="39"/>
    </row>
    <row r="20" spans="1:36" ht="31.5" x14ac:dyDescent="0.5">
      <c r="H20" s="180" t="s">
        <v>433</v>
      </c>
    </row>
  </sheetData>
  <phoneticPr fontId="33" type="noConversion"/>
  <conditionalFormatting sqref="D4:AC17">
    <cfRule type="expression" dxfId="8" priority="1">
      <formula>OR(WEEKDAY(D$4,2)&gt;5)</formula>
    </cfRule>
  </conditionalFormatting>
  <conditionalFormatting sqref="D6:AC14">
    <cfRule type="cellIs" dxfId="7" priority="4" operator="equal">
      <formula>"L"</formula>
    </cfRule>
    <cfRule type="cellIs" dxfId="6" priority="5" operator="equal">
      <formula>"A"</formula>
    </cfRule>
    <cfRule type="cellIs" dxfId="5" priority="6" operator="equal">
      <formula>"P"</formula>
    </cfRule>
  </conditionalFormatting>
  <conditionalFormatting sqref="AJ6:AJ17">
    <cfRule type="containsText" dxfId="4" priority="2" operator="containsText" text="Not Eligible">
      <formula>NOT(ISERROR(SEARCH("Not Eligible",AJ6)))</formula>
    </cfRule>
    <cfRule type="containsText" dxfId="3" priority="3" operator="containsText" text="Eligible">
      <formula>NOT(ISERROR(SEARCH("Eligible",AJ6)))</formula>
    </cfRule>
  </conditionalFormatting>
  <pageMargins left="0.7" right="0.7" top="0.75" bottom="0.75" header="0.3" footer="0.3"/>
  <pageSetup orientation="portrait" r:id="rId1"/>
  <ignoredErrors>
    <ignoredError sqref="AE6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93DB-EFEF-4524-8D02-7D28DFDDE5C2}">
  <dimension ref="A2:AO20"/>
  <sheetViews>
    <sheetView tabSelected="1" topLeftCell="K2" zoomScale="115" zoomScaleNormal="115" workbookViewId="0">
      <selection activeCell="AO6" sqref="AO6"/>
    </sheetView>
  </sheetViews>
  <sheetFormatPr defaultRowHeight="15" x14ac:dyDescent="0.25"/>
  <cols>
    <col min="1" max="1" width="5.85546875" style="36" customWidth="1"/>
    <col min="2" max="2" width="6.140625" style="36" bestFit="1" customWidth="1"/>
    <col min="3" max="3" width="20.140625" style="175" bestFit="1" customWidth="1"/>
    <col min="4" max="4" width="4.28515625" bestFit="1" customWidth="1"/>
    <col min="5" max="5" width="3.28515625" bestFit="1" customWidth="1"/>
    <col min="6" max="6" width="3.7109375" bestFit="1" customWidth="1"/>
    <col min="7" max="7" width="4.28515625" bestFit="1" customWidth="1"/>
    <col min="8" max="8" width="5.140625" bestFit="1" customWidth="1"/>
    <col min="9" max="9" width="4.28515625" bestFit="1" customWidth="1"/>
    <col min="10" max="10" width="5.28515625" bestFit="1" customWidth="1"/>
    <col min="11" max="11" width="4.28515625" bestFit="1" customWidth="1"/>
    <col min="12" max="12" width="3.28515625" bestFit="1" customWidth="1"/>
    <col min="13" max="13" width="3.7109375" bestFit="1" customWidth="1"/>
    <col min="14" max="14" width="4.28515625" bestFit="1" customWidth="1"/>
    <col min="15" max="15" width="5.140625" bestFit="1" customWidth="1"/>
    <col min="16" max="16" width="4.28515625" bestFit="1" customWidth="1"/>
    <col min="17" max="17" width="5.28515625" bestFit="1" customWidth="1"/>
    <col min="18" max="18" width="4.28515625" bestFit="1" customWidth="1"/>
    <col min="19" max="19" width="3.28515625" bestFit="1" customWidth="1"/>
    <col min="20" max="20" width="3.7109375" bestFit="1" customWidth="1"/>
    <col min="21" max="21" width="4.28515625" bestFit="1" customWidth="1"/>
    <col min="22" max="22" width="5.140625" bestFit="1" customWidth="1"/>
    <col min="23" max="23" width="4.28515625" bestFit="1" customWidth="1"/>
    <col min="24" max="24" width="5.28515625" bestFit="1" customWidth="1"/>
    <col min="25" max="25" width="4.28515625" bestFit="1" customWidth="1"/>
    <col min="26" max="26" width="3.28515625" bestFit="1" customWidth="1"/>
    <col min="27" max="27" width="3.7109375" bestFit="1" customWidth="1"/>
    <col min="28" max="28" width="4.28515625" bestFit="1" customWidth="1"/>
    <col min="29" max="29" width="5.140625" bestFit="1" customWidth="1"/>
    <col min="30" max="30" width="4.28515625" bestFit="1" customWidth="1"/>
    <col min="31" max="31" width="5.28515625" bestFit="1" customWidth="1"/>
    <col min="32" max="32" width="4.28515625" bestFit="1" customWidth="1"/>
    <col min="33" max="33" width="3.28515625" bestFit="1" customWidth="1"/>
    <col min="34" max="34" width="3.7109375" bestFit="1" customWidth="1"/>
    <col min="35" max="35" width="4.7109375" customWidth="1"/>
    <col min="36" max="38" width="4.5703125" customWidth="1"/>
    <col min="39" max="39" width="11.42578125" bestFit="1" customWidth="1"/>
    <col min="40" max="40" width="7.7109375" customWidth="1"/>
    <col min="41" max="41" width="18.28515625" bestFit="1" customWidth="1"/>
  </cols>
  <sheetData>
    <row r="2" spans="1:41" x14ac:dyDescent="0.25">
      <c r="B2" s="36" t="s">
        <v>526</v>
      </c>
      <c r="C2" s="177">
        <v>45901</v>
      </c>
    </row>
    <row r="4" spans="1:41" x14ac:dyDescent="0.25">
      <c r="A4" s="120" t="s">
        <v>514</v>
      </c>
      <c r="B4" s="120" t="s">
        <v>515</v>
      </c>
      <c r="C4" s="173" t="s">
        <v>0</v>
      </c>
      <c r="D4" s="178">
        <f>C2</f>
        <v>45901</v>
      </c>
      <c r="E4" s="178">
        <f>D4+1</f>
        <v>45902</v>
      </c>
      <c r="F4" s="178">
        <f t="shared" ref="F4:AH4" si="0">E4+1</f>
        <v>45903</v>
      </c>
      <c r="G4" s="178">
        <f t="shared" si="0"/>
        <v>45904</v>
      </c>
      <c r="H4" s="178">
        <f t="shared" si="0"/>
        <v>45905</v>
      </c>
      <c r="I4" s="178">
        <f t="shared" si="0"/>
        <v>45906</v>
      </c>
      <c r="J4" s="178">
        <f t="shared" si="0"/>
        <v>45907</v>
      </c>
      <c r="K4" s="178">
        <f t="shared" si="0"/>
        <v>45908</v>
      </c>
      <c r="L4" s="178">
        <f t="shared" si="0"/>
        <v>45909</v>
      </c>
      <c r="M4" s="178">
        <f t="shared" si="0"/>
        <v>45910</v>
      </c>
      <c r="N4" s="178">
        <f t="shared" si="0"/>
        <v>45911</v>
      </c>
      <c r="O4" s="178">
        <f t="shared" si="0"/>
        <v>45912</v>
      </c>
      <c r="P4" s="178">
        <f t="shared" si="0"/>
        <v>45913</v>
      </c>
      <c r="Q4" s="178">
        <f t="shared" si="0"/>
        <v>45914</v>
      </c>
      <c r="R4" s="178">
        <f t="shared" si="0"/>
        <v>45915</v>
      </c>
      <c r="S4" s="178">
        <f t="shared" si="0"/>
        <v>45916</v>
      </c>
      <c r="T4" s="178">
        <f t="shared" si="0"/>
        <v>45917</v>
      </c>
      <c r="U4" s="178">
        <f t="shared" si="0"/>
        <v>45918</v>
      </c>
      <c r="V4" s="178">
        <f t="shared" si="0"/>
        <v>45919</v>
      </c>
      <c r="W4" s="178">
        <f t="shared" si="0"/>
        <v>45920</v>
      </c>
      <c r="X4" s="178">
        <f t="shared" si="0"/>
        <v>45921</v>
      </c>
      <c r="Y4" s="178">
        <f t="shared" si="0"/>
        <v>45922</v>
      </c>
      <c r="Z4" s="178">
        <f t="shared" si="0"/>
        <v>45923</v>
      </c>
      <c r="AA4" s="178">
        <f t="shared" si="0"/>
        <v>45924</v>
      </c>
      <c r="AB4" s="178">
        <f t="shared" si="0"/>
        <v>45925</v>
      </c>
      <c r="AC4" s="178">
        <f t="shared" si="0"/>
        <v>45926</v>
      </c>
      <c r="AD4" s="178">
        <f t="shared" si="0"/>
        <v>45927</v>
      </c>
      <c r="AE4" s="178">
        <f t="shared" si="0"/>
        <v>45928</v>
      </c>
      <c r="AF4" s="178">
        <f t="shared" si="0"/>
        <v>45929</v>
      </c>
      <c r="AG4" s="178">
        <f t="shared" si="0"/>
        <v>45930</v>
      </c>
      <c r="AH4" s="178">
        <f t="shared" si="0"/>
        <v>45931</v>
      </c>
      <c r="AI4" s="178" t="s">
        <v>513</v>
      </c>
      <c r="AJ4" s="120" t="s">
        <v>394</v>
      </c>
      <c r="AK4" s="120" t="s">
        <v>40</v>
      </c>
      <c r="AL4" s="120" t="s">
        <v>395</v>
      </c>
      <c r="AM4" s="120" t="s">
        <v>95</v>
      </c>
      <c r="AN4" s="120" t="s">
        <v>7</v>
      </c>
      <c r="AO4" s="120" t="s">
        <v>432</v>
      </c>
    </row>
    <row r="5" spans="1:41" x14ac:dyDescent="0.25">
      <c r="A5" s="120"/>
      <c r="B5" s="120"/>
      <c r="C5" s="173"/>
      <c r="D5" s="179">
        <f>C2</f>
        <v>45901</v>
      </c>
      <c r="E5" s="179">
        <f>D5+1</f>
        <v>45902</v>
      </c>
      <c r="F5" s="179">
        <f t="shared" ref="F5:AH5" si="1">E5+1</f>
        <v>45903</v>
      </c>
      <c r="G5" s="179">
        <f t="shared" si="1"/>
        <v>45904</v>
      </c>
      <c r="H5" s="179">
        <f t="shared" si="1"/>
        <v>45905</v>
      </c>
      <c r="I5" s="179">
        <f t="shared" si="1"/>
        <v>45906</v>
      </c>
      <c r="J5" s="179">
        <f t="shared" si="1"/>
        <v>45907</v>
      </c>
      <c r="K5" s="179">
        <f t="shared" si="1"/>
        <v>45908</v>
      </c>
      <c r="L5" s="179">
        <f t="shared" si="1"/>
        <v>45909</v>
      </c>
      <c r="M5" s="179">
        <f t="shared" si="1"/>
        <v>45910</v>
      </c>
      <c r="N5" s="179">
        <f t="shared" si="1"/>
        <v>45911</v>
      </c>
      <c r="O5" s="179">
        <f t="shared" si="1"/>
        <v>45912</v>
      </c>
      <c r="P5" s="179">
        <f t="shared" si="1"/>
        <v>45913</v>
      </c>
      <c r="Q5" s="179">
        <f t="shared" si="1"/>
        <v>45914</v>
      </c>
      <c r="R5" s="179">
        <f t="shared" si="1"/>
        <v>45915</v>
      </c>
      <c r="S5" s="179">
        <f t="shared" si="1"/>
        <v>45916</v>
      </c>
      <c r="T5" s="179">
        <f t="shared" si="1"/>
        <v>45917</v>
      </c>
      <c r="U5" s="179">
        <f t="shared" si="1"/>
        <v>45918</v>
      </c>
      <c r="V5" s="179">
        <f t="shared" si="1"/>
        <v>45919</v>
      </c>
      <c r="W5" s="179">
        <f t="shared" si="1"/>
        <v>45920</v>
      </c>
      <c r="X5" s="179">
        <f t="shared" si="1"/>
        <v>45921</v>
      </c>
      <c r="Y5" s="179">
        <f t="shared" si="1"/>
        <v>45922</v>
      </c>
      <c r="Z5" s="179">
        <f t="shared" si="1"/>
        <v>45923</v>
      </c>
      <c r="AA5" s="179">
        <f t="shared" si="1"/>
        <v>45924</v>
      </c>
      <c r="AB5" s="179">
        <f t="shared" si="1"/>
        <v>45925</v>
      </c>
      <c r="AC5" s="179">
        <f t="shared" si="1"/>
        <v>45926</v>
      </c>
      <c r="AD5" s="179">
        <f t="shared" si="1"/>
        <v>45927</v>
      </c>
      <c r="AE5" s="179">
        <f t="shared" si="1"/>
        <v>45928</v>
      </c>
      <c r="AF5" s="179">
        <f t="shared" si="1"/>
        <v>45929</v>
      </c>
      <c r="AG5" s="179">
        <f t="shared" si="1"/>
        <v>45930</v>
      </c>
      <c r="AH5" s="179">
        <f t="shared" si="1"/>
        <v>45931</v>
      </c>
      <c r="AI5" s="179"/>
      <c r="AJ5" s="120"/>
      <c r="AK5" s="120"/>
      <c r="AL5" s="120"/>
      <c r="AM5" s="120"/>
      <c r="AN5" s="120"/>
      <c r="AO5" s="120"/>
    </row>
    <row r="6" spans="1:41" ht="15" customHeight="1" x14ac:dyDescent="0.25">
      <c r="A6" s="181">
        <f>IF(ISBLANK(C6),"",MAX(A5:$A$5)+1)</f>
        <v>1</v>
      </c>
      <c r="B6" s="7" t="s">
        <v>516</v>
      </c>
      <c r="C6" s="139" t="s">
        <v>475</v>
      </c>
      <c r="D6" s="97" t="s">
        <v>394</v>
      </c>
      <c r="E6" s="97" t="s">
        <v>394</v>
      </c>
      <c r="F6" s="97" t="s">
        <v>394</v>
      </c>
      <c r="G6" s="97" t="s">
        <v>394</v>
      </c>
      <c r="H6" s="97" t="s">
        <v>394</v>
      </c>
      <c r="I6" s="97" t="s">
        <v>394</v>
      </c>
      <c r="J6" s="97" t="s">
        <v>394</v>
      </c>
      <c r="K6" s="97" t="s">
        <v>394</v>
      </c>
      <c r="L6" s="97" t="s">
        <v>394</v>
      </c>
      <c r="M6" s="97" t="s">
        <v>394</v>
      </c>
      <c r="N6" s="97" t="s">
        <v>394</v>
      </c>
      <c r="O6" s="97" t="s">
        <v>394</v>
      </c>
      <c r="P6" s="97" t="s">
        <v>394</v>
      </c>
      <c r="Q6" s="97" t="s">
        <v>394</v>
      </c>
      <c r="R6" s="97" t="s">
        <v>394</v>
      </c>
      <c r="S6" s="97" t="s">
        <v>394</v>
      </c>
      <c r="T6" s="97" t="s">
        <v>394</v>
      </c>
      <c r="U6" s="97" t="s">
        <v>394</v>
      </c>
      <c r="V6" s="97" t="s">
        <v>394</v>
      </c>
      <c r="W6" s="97" t="s">
        <v>394</v>
      </c>
      <c r="X6" s="97" t="s">
        <v>394</v>
      </c>
      <c r="Y6" s="97" t="s">
        <v>394</v>
      </c>
      <c r="Z6" s="97" t="s">
        <v>394</v>
      </c>
      <c r="AA6" s="97" t="s">
        <v>394</v>
      </c>
      <c r="AB6" s="97" t="s">
        <v>394</v>
      </c>
      <c r="AC6" s="97" t="s">
        <v>394</v>
      </c>
      <c r="AD6" s="97" t="s">
        <v>394</v>
      </c>
      <c r="AE6" s="97" t="s">
        <v>394</v>
      </c>
      <c r="AF6" s="97" t="s">
        <v>394</v>
      </c>
      <c r="AG6" s="97" t="s">
        <v>394</v>
      </c>
      <c r="AH6" s="97" t="s">
        <v>394</v>
      </c>
      <c r="AI6" s="97">
        <v>30</v>
      </c>
      <c r="AJ6" s="176">
        <f>COUNTIF(D6:AG6,"P")</f>
        <v>30</v>
      </c>
      <c r="AK6" s="176">
        <f>COUNTIF(D6:AG6,"A")</f>
        <v>0</v>
      </c>
      <c r="AL6" s="176">
        <f>COUNTIF(D6:AG6,"L")</f>
        <v>0</v>
      </c>
      <c r="AM6" s="7" t="str">
        <f>IF(AK6=0, "Excellent!", IF(AK6=1, "Good", IF(AK6=2, "Fair", IF(AK6=3, "Be Punctual", IF(AK6=4, "Plz Contact", "Struck off")))))</f>
        <v>Excellent!</v>
      </c>
      <c r="AN6" s="132">
        <f>AJ6*100/30</f>
        <v>100</v>
      </c>
      <c r="AO6" s="39" t="str">
        <f>IF(AND(AN6&gt;70, AN6&lt;=100),"Eligible","Not Eligible")</f>
        <v>Eligible</v>
      </c>
    </row>
    <row r="7" spans="1:41" ht="15.75" x14ac:dyDescent="0.25">
      <c r="A7" s="181">
        <f>IF(ISBLANK(C7),"",MAX(A$5:$A6)+1)</f>
        <v>2</v>
      </c>
      <c r="B7" s="7" t="s">
        <v>517</v>
      </c>
      <c r="C7" s="139" t="s">
        <v>476</v>
      </c>
      <c r="D7" s="97" t="s">
        <v>394</v>
      </c>
      <c r="E7" s="97" t="s">
        <v>394</v>
      </c>
      <c r="F7" s="97" t="s">
        <v>394</v>
      </c>
      <c r="G7" s="97" t="s">
        <v>395</v>
      </c>
      <c r="H7" s="97" t="s">
        <v>394</v>
      </c>
      <c r="I7" s="97" t="s">
        <v>395</v>
      </c>
      <c r="J7" s="97" t="s">
        <v>394</v>
      </c>
      <c r="K7" s="97" t="s">
        <v>40</v>
      </c>
      <c r="L7" s="97" t="s">
        <v>394</v>
      </c>
      <c r="M7" s="97" t="s">
        <v>394</v>
      </c>
      <c r="N7" s="97" t="s">
        <v>394</v>
      </c>
      <c r="O7" s="97" t="s">
        <v>394</v>
      </c>
      <c r="P7" s="97" t="s">
        <v>394</v>
      </c>
      <c r="Q7" s="97" t="s">
        <v>394</v>
      </c>
      <c r="R7" s="97" t="s">
        <v>394</v>
      </c>
      <c r="S7" s="97" t="s">
        <v>394</v>
      </c>
      <c r="T7" s="97" t="s">
        <v>394</v>
      </c>
      <c r="U7" s="97" t="s">
        <v>394</v>
      </c>
      <c r="V7" s="97" t="s">
        <v>394</v>
      </c>
      <c r="W7" s="97" t="s">
        <v>394</v>
      </c>
      <c r="X7" s="97" t="s">
        <v>394</v>
      </c>
      <c r="Y7" s="97" t="s">
        <v>394</v>
      </c>
      <c r="Z7" s="97" t="s">
        <v>394</v>
      </c>
      <c r="AA7" s="97" t="s">
        <v>394</v>
      </c>
      <c r="AB7" s="97" t="s">
        <v>394</v>
      </c>
      <c r="AC7" s="97" t="s">
        <v>394</v>
      </c>
      <c r="AD7" s="97" t="s">
        <v>394</v>
      </c>
      <c r="AE7" s="97" t="s">
        <v>394</v>
      </c>
      <c r="AF7" s="97" t="s">
        <v>394</v>
      </c>
      <c r="AG7" s="97" t="s">
        <v>394</v>
      </c>
      <c r="AH7" s="97" t="s">
        <v>394</v>
      </c>
      <c r="AI7" s="97">
        <v>30</v>
      </c>
      <c r="AJ7" s="176">
        <f t="shared" ref="AJ7:AJ13" si="2">COUNTIF(D7:AG7,"P")</f>
        <v>27</v>
      </c>
      <c r="AK7" s="176"/>
      <c r="AL7" s="176"/>
      <c r="AM7" s="7" t="str">
        <f t="shared" ref="AM7:AM14" si="3">IF(AK7=0, "Excellent!", IF(AK7=1, "Good", IF(AK7=2, "Fair", IF(AK7=3, "Be Punctual", IF(AK7=4, "Plz Contact", "Struck off")))))</f>
        <v>Excellent!</v>
      </c>
      <c r="AN7" s="132">
        <f t="shared" ref="AN7:AN14" si="4">AJ7*100/30</f>
        <v>90</v>
      </c>
      <c r="AO7" s="39" t="str">
        <f t="shared" ref="AO7:AO14" si="5">IF(AND(AN7&gt;70, AN7&lt;=100),"Eligible","Not Eligible")</f>
        <v>Eligible</v>
      </c>
    </row>
    <row r="8" spans="1:41" ht="15.75" x14ac:dyDescent="0.25">
      <c r="A8" s="181">
        <f>IF(ISBLANK(C8),"",MAX(A$5:$A7)+1)</f>
        <v>3</v>
      </c>
      <c r="B8" s="7" t="s">
        <v>518</v>
      </c>
      <c r="C8" s="139" t="s">
        <v>477</v>
      </c>
      <c r="D8" s="97" t="s">
        <v>394</v>
      </c>
      <c r="E8" s="97" t="s">
        <v>394</v>
      </c>
      <c r="F8" s="97" t="s">
        <v>394</v>
      </c>
      <c r="G8" s="97" t="s">
        <v>40</v>
      </c>
      <c r="H8" s="97" t="s">
        <v>394</v>
      </c>
      <c r="I8" s="97" t="s">
        <v>394</v>
      </c>
      <c r="J8" s="97" t="s">
        <v>394</v>
      </c>
      <c r="K8" s="97" t="s">
        <v>394</v>
      </c>
      <c r="L8" s="97" t="s">
        <v>394</v>
      </c>
      <c r="M8" s="97" t="s">
        <v>394</v>
      </c>
      <c r="N8" s="97" t="s">
        <v>394</v>
      </c>
      <c r="O8" s="97" t="s">
        <v>40</v>
      </c>
      <c r="P8" s="97" t="s">
        <v>394</v>
      </c>
      <c r="Q8" s="97" t="s">
        <v>394</v>
      </c>
      <c r="R8" s="97" t="s">
        <v>394</v>
      </c>
      <c r="S8" s="97" t="s">
        <v>394</v>
      </c>
      <c r="T8" s="97" t="s">
        <v>40</v>
      </c>
      <c r="U8" s="97" t="s">
        <v>394</v>
      </c>
      <c r="V8" s="97" t="s">
        <v>395</v>
      </c>
      <c r="W8" s="97" t="s">
        <v>394</v>
      </c>
      <c r="X8" s="97" t="s">
        <v>394</v>
      </c>
      <c r="Y8" s="97" t="s">
        <v>395</v>
      </c>
      <c r="Z8" s="97" t="s">
        <v>40</v>
      </c>
      <c r="AA8" s="97" t="s">
        <v>40</v>
      </c>
      <c r="AB8" s="97" t="s">
        <v>394</v>
      </c>
      <c r="AC8" s="97" t="s">
        <v>394</v>
      </c>
      <c r="AD8" s="97" t="s">
        <v>394</v>
      </c>
      <c r="AE8" s="97" t="s">
        <v>395</v>
      </c>
      <c r="AF8" s="97" t="s">
        <v>40</v>
      </c>
      <c r="AG8" s="97" t="s">
        <v>394</v>
      </c>
      <c r="AH8" s="97" t="s">
        <v>394</v>
      </c>
      <c r="AI8" s="97">
        <v>30</v>
      </c>
      <c r="AJ8" s="176">
        <f t="shared" si="2"/>
        <v>21</v>
      </c>
      <c r="AK8" s="176"/>
      <c r="AL8" s="176"/>
      <c r="AM8" s="7" t="str">
        <f t="shared" si="3"/>
        <v>Excellent!</v>
      </c>
      <c r="AN8" s="132">
        <f t="shared" si="4"/>
        <v>70</v>
      </c>
      <c r="AO8" s="39" t="str">
        <f t="shared" si="5"/>
        <v>Not Eligible</v>
      </c>
    </row>
    <row r="9" spans="1:41" ht="15.75" x14ac:dyDescent="0.25">
      <c r="A9" s="181">
        <f>IF(ISBLANK(C9),"",MAX(A$5:$A8)+1)</f>
        <v>4</v>
      </c>
      <c r="B9" s="7" t="s">
        <v>519</v>
      </c>
      <c r="C9" s="139" t="s">
        <v>478</v>
      </c>
      <c r="D9" s="97" t="s">
        <v>394</v>
      </c>
      <c r="E9" s="97" t="s">
        <v>394</v>
      </c>
      <c r="F9" s="97" t="s">
        <v>394</v>
      </c>
      <c r="G9" s="97" t="s">
        <v>394</v>
      </c>
      <c r="H9" s="97" t="s">
        <v>40</v>
      </c>
      <c r="I9" s="97" t="s">
        <v>394</v>
      </c>
      <c r="J9" s="97" t="s">
        <v>395</v>
      </c>
      <c r="K9" s="97" t="s">
        <v>394</v>
      </c>
      <c r="L9" s="97" t="s">
        <v>394</v>
      </c>
      <c r="M9" s="97" t="s">
        <v>394</v>
      </c>
      <c r="N9" s="97" t="s">
        <v>40</v>
      </c>
      <c r="O9" s="97" t="s">
        <v>394</v>
      </c>
      <c r="P9" s="97" t="s">
        <v>394</v>
      </c>
      <c r="Q9" s="97" t="s">
        <v>394</v>
      </c>
      <c r="R9" s="97" t="s">
        <v>40</v>
      </c>
      <c r="S9" s="97" t="s">
        <v>394</v>
      </c>
      <c r="T9" s="97" t="s">
        <v>394</v>
      </c>
      <c r="U9" s="97" t="s">
        <v>394</v>
      </c>
      <c r="V9" s="97" t="s">
        <v>394</v>
      </c>
      <c r="W9" s="97" t="s">
        <v>394</v>
      </c>
      <c r="X9" s="97" t="s">
        <v>394</v>
      </c>
      <c r="Y9" s="97" t="s">
        <v>394</v>
      </c>
      <c r="Z9" s="97" t="s">
        <v>394</v>
      </c>
      <c r="AA9" s="97" t="s">
        <v>394</v>
      </c>
      <c r="AB9" s="97" t="s">
        <v>394</v>
      </c>
      <c r="AC9" s="97" t="s">
        <v>394</v>
      </c>
      <c r="AD9" s="97" t="s">
        <v>394</v>
      </c>
      <c r="AE9" s="97" t="s">
        <v>394</v>
      </c>
      <c r="AF9" s="97" t="s">
        <v>394</v>
      </c>
      <c r="AG9" s="97" t="s">
        <v>394</v>
      </c>
      <c r="AH9" s="97" t="s">
        <v>394</v>
      </c>
      <c r="AI9" s="97">
        <v>30</v>
      </c>
      <c r="AJ9" s="176">
        <f t="shared" si="2"/>
        <v>26</v>
      </c>
      <c r="AK9" s="176"/>
      <c r="AL9" s="176"/>
      <c r="AM9" s="7" t="str">
        <f t="shared" si="3"/>
        <v>Excellent!</v>
      </c>
      <c r="AN9" s="132">
        <f t="shared" si="4"/>
        <v>86.666666666666671</v>
      </c>
      <c r="AO9" s="39" t="str">
        <f t="shared" si="5"/>
        <v>Eligible</v>
      </c>
    </row>
    <row r="10" spans="1:41" ht="15.75" x14ac:dyDescent="0.25">
      <c r="A10" s="181">
        <f>IF(ISBLANK(C10),"",MAX(A$5:$A9)+1)</f>
        <v>5</v>
      </c>
      <c r="B10" s="7" t="s">
        <v>520</v>
      </c>
      <c r="C10" s="139" t="s">
        <v>479</v>
      </c>
      <c r="D10" s="97" t="s">
        <v>394</v>
      </c>
      <c r="E10" s="97" t="s">
        <v>394</v>
      </c>
      <c r="F10" s="97" t="s">
        <v>394</v>
      </c>
      <c r="G10" s="97" t="s">
        <v>394</v>
      </c>
      <c r="H10" s="97" t="s">
        <v>394</v>
      </c>
      <c r="I10" s="97" t="s">
        <v>395</v>
      </c>
      <c r="J10" s="97" t="s">
        <v>40</v>
      </c>
      <c r="K10" s="97" t="s">
        <v>394</v>
      </c>
      <c r="L10" s="97" t="s">
        <v>394</v>
      </c>
      <c r="M10" s="97" t="s">
        <v>394</v>
      </c>
      <c r="N10" s="97" t="s">
        <v>394</v>
      </c>
      <c r="O10" s="97" t="s">
        <v>394</v>
      </c>
      <c r="P10" s="97" t="s">
        <v>395</v>
      </c>
      <c r="Q10" s="97" t="s">
        <v>394</v>
      </c>
      <c r="R10" s="97" t="s">
        <v>394</v>
      </c>
      <c r="S10" s="97" t="s">
        <v>394</v>
      </c>
      <c r="T10" s="97" t="s">
        <v>394</v>
      </c>
      <c r="U10" s="97" t="s">
        <v>394</v>
      </c>
      <c r="V10" s="97" t="s">
        <v>40</v>
      </c>
      <c r="W10" s="97" t="s">
        <v>394</v>
      </c>
      <c r="X10" s="97" t="s">
        <v>394</v>
      </c>
      <c r="Y10" s="97" t="s">
        <v>394</v>
      </c>
      <c r="Z10" s="97" t="s">
        <v>394</v>
      </c>
      <c r="AA10" s="97" t="s">
        <v>394</v>
      </c>
      <c r="AB10" s="97" t="s">
        <v>394</v>
      </c>
      <c r="AC10" s="97" t="s">
        <v>395</v>
      </c>
      <c r="AD10" s="97" t="s">
        <v>394</v>
      </c>
      <c r="AE10" s="97" t="s">
        <v>394</v>
      </c>
      <c r="AF10" s="97" t="s">
        <v>394</v>
      </c>
      <c r="AG10" s="97" t="s">
        <v>394</v>
      </c>
      <c r="AH10" s="97" t="s">
        <v>394</v>
      </c>
      <c r="AI10" s="97">
        <v>30</v>
      </c>
      <c r="AJ10" s="176">
        <f t="shared" si="2"/>
        <v>25</v>
      </c>
      <c r="AK10" s="176"/>
      <c r="AL10" s="176"/>
      <c r="AM10" s="7" t="str">
        <f t="shared" si="3"/>
        <v>Excellent!</v>
      </c>
      <c r="AN10" s="132">
        <f t="shared" si="4"/>
        <v>83.333333333333329</v>
      </c>
      <c r="AO10" s="39" t="str">
        <f t="shared" si="5"/>
        <v>Eligible</v>
      </c>
    </row>
    <row r="11" spans="1:41" ht="15.75" x14ac:dyDescent="0.25">
      <c r="A11" s="181">
        <f>IF(ISBLANK(C11),"",MAX(A$5:$A10)+1)</f>
        <v>6</v>
      </c>
      <c r="B11" s="7" t="s">
        <v>521</v>
      </c>
      <c r="C11" s="139" t="s">
        <v>480</v>
      </c>
      <c r="D11" s="97" t="s">
        <v>394</v>
      </c>
      <c r="E11" s="97" t="s">
        <v>394</v>
      </c>
      <c r="F11" s="97" t="s">
        <v>40</v>
      </c>
      <c r="G11" s="97" t="s">
        <v>394</v>
      </c>
      <c r="H11" s="97" t="s">
        <v>394</v>
      </c>
      <c r="I11" s="97" t="s">
        <v>394</v>
      </c>
      <c r="J11" s="97" t="s">
        <v>394</v>
      </c>
      <c r="K11" s="97" t="s">
        <v>394</v>
      </c>
      <c r="L11" s="97" t="s">
        <v>394</v>
      </c>
      <c r="M11" s="97" t="s">
        <v>394</v>
      </c>
      <c r="N11" s="97" t="s">
        <v>394</v>
      </c>
      <c r="O11" s="97" t="s">
        <v>394</v>
      </c>
      <c r="P11" s="97" t="s">
        <v>394</v>
      </c>
      <c r="Q11" s="97" t="s">
        <v>394</v>
      </c>
      <c r="R11" s="97" t="s">
        <v>40</v>
      </c>
      <c r="S11" s="97" t="s">
        <v>394</v>
      </c>
      <c r="T11" s="97" t="s">
        <v>394</v>
      </c>
      <c r="U11" s="97" t="s">
        <v>394</v>
      </c>
      <c r="V11" s="97" t="s">
        <v>394</v>
      </c>
      <c r="W11" s="97" t="s">
        <v>394</v>
      </c>
      <c r="X11" s="97" t="s">
        <v>394</v>
      </c>
      <c r="Y11" s="97" t="s">
        <v>40</v>
      </c>
      <c r="Z11" s="97" t="s">
        <v>40</v>
      </c>
      <c r="AA11" s="97" t="s">
        <v>394</v>
      </c>
      <c r="AB11" s="97" t="s">
        <v>394</v>
      </c>
      <c r="AC11" s="97" t="s">
        <v>394</v>
      </c>
      <c r="AD11" s="97" t="s">
        <v>394</v>
      </c>
      <c r="AE11" s="97" t="s">
        <v>394</v>
      </c>
      <c r="AF11" s="97" t="s">
        <v>394</v>
      </c>
      <c r="AG11" s="97" t="s">
        <v>40</v>
      </c>
      <c r="AH11" s="97" t="s">
        <v>394</v>
      </c>
      <c r="AI11" s="97">
        <v>30</v>
      </c>
      <c r="AJ11" s="176">
        <f t="shared" si="2"/>
        <v>25</v>
      </c>
      <c r="AK11" s="176"/>
      <c r="AL11" s="176"/>
      <c r="AM11" s="7" t="str">
        <f t="shared" si="3"/>
        <v>Excellent!</v>
      </c>
      <c r="AN11" s="132">
        <f t="shared" si="4"/>
        <v>83.333333333333329</v>
      </c>
      <c r="AO11" s="39" t="str">
        <f t="shared" si="5"/>
        <v>Eligible</v>
      </c>
    </row>
    <row r="12" spans="1:41" ht="15.75" x14ac:dyDescent="0.25">
      <c r="A12" s="181">
        <f>IF(ISBLANK(C12),"",MAX(A$5:$A11)+1)</f>
        <v>7</v>
      </c>
      <c r="B12" s="7" t="s">
        <v>522</v>
      </c>
      <c r="C12" s="139" t="s">
        <v>481</v>
      </c>
      <c r="D12" s="152" t="s">
        <v>394</v>
      </c>
      <c r="E12" s="152" t="s">
        <v>394</v>
      </c>
      <c r="F12" s="97" t="s">
        <v>394</v>
      </c>
      <c r="G12" s="97" t="s">
        <v>394</v>
      </c>
      <c r="H12" s="97" t="s">
        <v>394</v>
      </c>
      <c r="I12" s="97" t="s">
        <v>394</v>
      </c>
      <c r="J12" s="97" t="s">
        <v>394</v>
      </c>
      <c r="K12" s="97" t="s">
        <v>394</v>
      </c>
      <c r="L12" s="97" t="s">
        <v>394</v>
      </c>
      <c r="M12" s="97" t="s">
        <v>394</v>
      </c>
      <c r="N12" s="97" t="s">
        <v>394</v>
      </c>
      <c r="O12" s="97" t="s">
        <v>394</v>
      </c>
      <c r="P12" s="97" t="s">
        <v>394</v>
      </c>
      <c r="Q12" s="97" t="s">
        <v>394</v>
      </c>
      <c r="R12" s="97" t="s">
        <v>394</v>
      </c>
      <c r="S12" s="97" t="s">
        <v>394</v>
      </c>
      <c r="T12" s="97" t="s">
        <v>394</v>
      </c>
      <c r="U12" s="97" t="s">
        <v>394</v>
      </c>
      <c r="V12" s="97" t="s">
        <v>394</v>
      </c>
      <c r="W12" s="97" t="s">
        <v>394</v>
      </c>
      <c r="X12" s="97" t="s">
        <v>394</v>
      </c>
      <c r="Y12" s="97" t="s">
        <v>394</v>
      </c>
      <c r="Z12" s="97" t="s">
        <v>394</v>
      </c>
      <c r="AA12" s="97" t="s">
        <v>394</v>
      </c>
      <c r="AB12" s="97" t="s">
        <v>394</v>
      </c>
      <c r="AC12" s="97" t="s">
        <v>394</v>
      </c>
      <c r="AD12" s="97" t="s">
        <v>394</v>
      </c>
      <c r="AE12" s="97" t="s">
        <v>40</v>
      </c>
      <c r="AF12" s="97" t="s">
        <v>394</v>
      </c>
      <c r="AG12" s="97" t="s">
        <v>394</v>
      </c>
      <c r="AH12" s="97" t="s">
        <v>394</v>
      </c>
      <c r="AI12" s="97">
        <v>30</v>
      </c>
      <c r="AJ12" s="176">
        <f t="shared" si="2"/>
        <v>29</v>
      </c>
      <c r="AK12" s="176"/>
      <c r="AL12" s="176"/>
      <c r="AM12" s="7" t="str">
        <f t="shared" si="3"/>
        <v>Excellent!</v>
      </c>
      <c r="AN12" s="132">
        <f t="shared" si="4"/>
        <v>96.666666666666671</v>
      </c>
      <c r="AO12" s="39" t="str">
        <f t="shared" si="5"/>
        <v>Eligible</v>
      </c>
    </row>
    <row r="13" spans="1:41" ht="15.75" x14ac:dyDescent="0.25">
      <c r="A13" s="181">
        <f>IF(ISBLANK(C13),"",MAX(A$5:$A12)+1)</f>
        <v>8</v>
      </c>
      <c r="B13" s="7" t="s">
        <v>523</v>
      </c>
      <c r="C13" s="139" t="s">
        <v>482</v>
      </c>
      <c r="D13" s="97" t="s">
        <v>394</v>
      </c>
      <c r="E13" s="97" t="s">
        <v>394</v>
      </c>
      <c r="F13" s="97" t="s">
        <v>394</v>
      </c>
      <c r="G13" s="97" t="s">
        <v>394</v>
      </c>
      <c r="H13" s="97" t="s">
        <v>394</v>
      </c>
      <c r="I13" s="97" t="s">
        <v>40</v>
      </c>
      <c r="J13" s="97" t="s">
        <v>394</v>
      </c>
      <c r="K13" s="97" t="s">
        <v>394</v>
      </c>
      <c r="L13" s="97" t="s">
        <v>394</v>
      </c>
      <c r="M13" s="97" t="s">
        <v>394</v>
      </c>
      <c r="N13" s="97" t="s">
        <v>40</v>
      </c>
      <c r="O13" s="97" t="s">
        <v>394</v>
      </c>
      <c r="P13" s="97" t="s">
        <v>394</v>
      </c>
      <c r="Q13" s="97" t="s">
        <v>394</v>
      </c>
      <c r="R13" s="97" t="s">
        <v>394</v>
      </c>
      <c r="S13" s="97" t="s">
        <v>394</v>
      </c>
      <c r="T13" s="97" t="s">
        <v>395</v>
      </c>
      <c r="U13" s="97" t="s">
        <v>394</v>
      </c>
      <c r="V13" s="97" t="s">
        <v>394</v>
      </c>
      <c r="W13" s="97" t="s">
        <v>395</v>
      </c>
      <c r="X13" s="97" t="s">
        <v>394</v>
      </c>
      <c r="Y13" s="97" t="s">
        <v>394</v>
      </c>
      <c r="Z13" s="97" t="s">
        <v>394</v>
      </c>
      <c r="AA13" s="97" t="s">
        <v>394</v>
      </c>
      <c r="AB13" s="97" t="s">
        <v>394</v>
      </c>
      <c r="AC13" s="97" t="s">
        <v>394</v>
      </c>
      <c r="AD13" s="97" t="s">
        <v>394</v>
      </c>
      <c r="AE13" s="97" t="s">
        <v>394</v>
      </c>
      <c r="AF13" s="97" t="s">
        <v>394</v>
      </c>
      <c r="AG13" s="97" t="s">
        <v>394</v>
      </c>
      <c r="AH13" s="97" t="s">
        <v>394</v>
      </c>
      <c r="AI13" s="97">
        <v>30</v>
      </c>
      <c r="AJ13" s="176">
        <f t="shared" si="2"/>
        <v>26</v>
      </c>
      <c r="AK13" s="176"/>
      <c r="AL13" s="176"/>
      <c r="AM13" s="7" t="str">
        <f t="shared" si="3"/>
        <v>Excellent!</v>
      </c>
      <c r="AN13" s="132">
        <f t="shared" si="4"/>
        <v>86.666666666666671</v>
      </c>
      <c r="AO13" s="39" t="str">
        <f t="shared" si="5"/>
        <v>Eligible</v>
      </c>
    </row>
    <row r="14" spans="1:41" ht="15.75" x14ac:dyDescent="0.25">
      <c r="A14" s="181">
        <f>IF(ISBLANK(C14),"",MAX(A$5:$A13)+1)</f>
        <v>9</v>
      </c>
      <c r="B14" s="7" t="s">
        <v>524</v>
      </c>
      <c r="C14" s="139" t="s">
        <v>483</v>
      </c>
      <c r="D14" s="152" t="s">
        <v>394</v>
      </c>
      <c r="E14" s="152" t="s">
        <v>394</v>
      </c>
      <c r="F14" s="97" t="s">
        <v>394</v>
      </c>
      <c r="G14" s="97" t="s">
        <v>394</v>
      </c>
      <c r="H14" s="97" t="s">
        <v>394</v>
      </c>
      <c r="I14" s="97" t="s">
        <v>394</v>
      </c>
      <c r="J14" s="97" t="s">
        <v>394</v>
      </c>
      <c r="K14" s="97" t="s">
        <v>394</v>
      </c>
      <c r="L14" s="97" t="s">
        <v>394</v>
      </c>
      <c r="M14" s="97" t="s">
        <v>394</v>
      </c>
      <c r="N14" s="97" t="s">
        <v>394</v>
      </c>
      <c r="O14" s="97" t="s">
        <v>394</v>
      </c>
      <c r="P14" s="97" t="s">
        <v>394</v>
      </c>
      <c r="Q14" s="97" t="s">
        <v>394</v>
      </c>
      <c r="R14" s="97" t="s">
        <v>394</v>
      </c>
      <c r="S14" s="97" t="s">
        <v>394</v>
      </c>
      <c r="T14" s="97" t="s">
        <v>394</v>
      </c>
      <c r="U14" s="97" t="s">
        <v>394</v>
      </c>
      <c r="V14" s="97" t="s">
        <v>394</v>
      </c>
      <c r="W14" s="97" t="s">
        <v>394</v>
      </c>
      <c r="X14" s="97" t="s">
        <v>394</v>
      </c>
      <c r="Y14" s="97" t="s">
        <v>394</v>
      </c>
      <c r="Z14" s="97" t="s">
        <v>394</v>
      </c>
      <c r="AA14" s="97" t="s">
        <v>394</v>
      </c>
      <c r="AB14" s="97" t="s">
        <v>394</v>
      </c>
      <c r="AC14" s="97" t="s">
        <v>394</v>
      </c>
      <c r="AD14" s="97" t="s">
        <v>394</v>
      </c>
      <c r="AE14" s="97" t="s">
        <v>394</v>
      </c>
      <c r="AF14" s="97" t="s">
        <v>394</v>
      </c>
      <c r="AG14" s="97" t="s">
        <v>394</v>
      </c>
      <c r="AH14" s="97" t="s">
        <v>394</v>
      </c>
      <c r="AI14" s="97">
        <v>30</v>
      </c>
      <c r="AJ14" s="176">
        <f t="shared" ref="AJ14" si="6">COUNTIF(D14:AG14, "P")</f>
        <v>30</v>
      </c>
      <c r="AK14" s="176">
        <f t="shared" ref="AK14" si="7">COUNTIF(D14:AG14, "A")</f>
        <v>0</v>
      </c>
      <c r="AL14" s="176">
        <f t="shared" ref="AL14" si="8">COUNTIF(D14:AG14, "L")</f>
        <v>0</v>
      </c>
      <c r="AM14" s="7" t="str">
        <f t="shared" si="3"/>
        <v>Excellent!</v>
      </c>
      <c r="AN14" s="132">
        <f t="shared" si="4"/>
        <v>100</v>
      </c>
      <c r="AO14" s="39" t="str">
        <f t="shared" si="5"/>
        <v>Eligible</v>
      </c>
    </row>
    <row r="15" spans="1:41" ht="15.75" x14ac:dyDescent="0.25">
      <c r="A15" s="181">
        <f>IF(ISBLANK(C15),"",MAX(A$5:$A14)+1)</f>
        <v>10</v>
      </c>
      <c r="B15" s="7" t="s">
        <v>525</v>
      </c>
      <c r="C15" s="139" t="s">
        <v>501</v>
      </c>
      <c r="D15" s="97" t="s">
        <v>394</v>
      </c>
      <c r="E15" s="97" t="s">
        <v>394</v>
      </c>
      <c r="F15" s="97" t="s">
        <v>394</v>
      </c>
      <c r="G15" s="97" t="s">
        <v>394</v>
      </c>
      <c r="H15" s="97" t="s">
        <v>394</v>
      </c>
      <c r="I15" s="97" t="s">
        <v>394</v>
      </c>
      <c r="J15" s="97" t="s">
        <v>394</v>
      </c>
      <c r="K15" s="97" t="s">
        <v>394</v>
      </c>
      <c r="L15" s="97" t="s">
        <v>394</v>
      </c>
      <c r="M15" s="97" t="s">
        <v>394</v>
      </c>
      <c r="N15" s="97" t="s">
        <v>394</v>
      </c>
      <c r="O15" s="97" t="s">
        <v>394</v>
      </c>
      <c r="P15" s="97" t="s">
        <v>394</v>
      </c>
      <c r="Q15" s="97" t="s">
        <v>394</v>
      </c>
      <c r="R15" s="97" t="s">
        <v>394</v>
      </c>
      <c r="S15" s="97" t="s">
        <v>394</v>
      </c>
      <c r="T15" s="97" t="s">
        <v>394</v>
      </c>
      <c r="U15" s="97" t="s">
        <v>394</v>
      </c>
      <c r="V15" s="97" t="s">
        <v>394</v>
      </c>
      <c r="W15" s="97" t="s">
        <v>394</v>
      </c>
      <c r="X15" s="97" t="s">
        <v>394</v>
      </c>
      <c r="Y15" s="97" t="s">
        <v>394</v>
      </c>
      <c r="Z15" s="97" t="s">
        <v>394</v>
      </c>
      <c r="AA15" s="97" t="s">
        <v>394</v>
      </c>
      <c r="AB15" s="97" t="s">
        <v>40</v>
      </c>
      <c r="AC15" s="97" t="s">
        <v>394</v>
      </c>
      <c r="AD15" s="97" t="s">
        <v>394</v>
      </c>
      <c r="AE15" s="97" t="s">
        <v>394</v>
      </c>
      <c r="AF15" s="97" t="s">
        <v>394</v>
      </c>
      <c r="AG15" s="97" t="s">
        <v>394</v>
      </c>
      <c r="AH15" s="97" t="s">
        <v>394</v>
      </c>
      <c r="AI15" s="97">
        <v>30</v>
      </c>
      <c r="AJ15" s="7"/>
      <c r="AK15" s="7"/>
      <c r="AL15" s="7"/>
      <c r="AM15" s="7"/>
      <c r="AN15" s="132">
        <f t="shared" ref="AN15:AN17" si="9">AJ15*100/26</f>
        <v>0</v>
      </c>
      <c r="AO15" s="39"/>
    </row>
    <row r="16" spans="1:41" x14ac:dyDescent="0.25">
      <c r="A16" s="7"/>
      <c r="B16" s="7"/>
      <c r="C16" s="174" t="s">
        <v>502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97"/>
      <c r="AJ16" s="7"/>
      <c r="AK16" s="7"/>
      <c r="AL16" s="7"/>
      <c r="AM16" s="7"/>
      <c r="AN16" s="132">
        <f t="shared" si="9"/>
        <v>0</v>
      </c>
      <c r="AO16" s="39"/>
    </row>
    <row r="17" spans="1:41" x14ac:dyDescent="0.25">
      <c r="A17" s="7"/>
      <c r="B17" s="7"/>
      <c r="C17" s="13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97"/>
      <c r="AJ17" s="7"/>
      <c r="AK17" s="7"/>
      <c r="AL17" s="7"/>
      <c r="AM17" s="7"/>
      <c r="AN17" s="132">
        <f t="shared" si="9"/>
        <v>0</v>
      </c>
      <c r="AO17" s="39"/>
    </row>
    <row r="20" spans="1:41" ht="31.5" x14ac:dyDescent="0.5">
      <c r="H20" s="180"/>
    </row>
  </sheetData>
  <conditionalFormatting sqref="D4:AH15">
    <cfRule type="expression" dxfId="2" priority="1">
      <formula>OR(WEEKDAY(D$4,2)&gt;5)</formula>
    </cfRule>
  </conditionalFormatting>
  <conditionalFormatting sqref="AO6:AO17">
    <cfRule type="containsText" dxfId="1" priority="3" operator="containsText" text="Not Eligible">
      <formula>NOT(ISERROR(SEARCH("Not Eligible",AO6)))</formula>
    </cfRule>
    <cfRule type="containsText" dxfId="0" priority="4" operator="containsText" text="Eligible">
      <formula>NOT(ISERROR(SEARCH("Eligible",AO6)))</formula>
    </cfRule>
  </conditionalFormatting>
  <pageMargins left="0.11" right="0.09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</vt:i4>
      </vt:variant>
    </vt:vector>
  </HeadingPairs>
  <TitlesOfParts>
    <vt:vector size="32" baseType="lpstr">
      <vt:lpstr>Class One</vt:lpstr>
      <vt:lpstr>Database</vt:lpstr>
      <vt:lpstr>Formulas</vt:lpstr>
      <vt:lpstr>Mark Sheet</vt:lpstr>
      <vt:lpstr>if Logical</vt:lpstr>
      <vt:lpstr>Income Expense Sheet</vt:lpstr>
      <vt:lpstr>Bank Salary Sheet</vt:lpstr>
      <vt:lpstr>(if) Bank Salary Sheet</vt:lpstr>
      <vt:lpstr>Daily Wages Sheet</vt:lpstr>
      <vt:lpstr>(if)Daily Wages Sheet</vt:lpstr>
      <vt:lpstr>Financial Sheet</vt:lpstr>
      <vt:lpstr>Register</vt:lpstr>
      <vt:lpstr>Bank Balance Sheet</vt:lpstr>
      <vt:lpstr>If and Or</vt:lpstr>
      <vt:lpstr>Population</vt:lpstr>
      <vt:lpstr>Commission</vt:lpstr>
      <vt:lpstr>Vlookup</vt:lpstr>
      <vt:lpstr>Sumif</vt:lpstr>
      <vt:lpstr>Electric Bills</vt:lpstr>
      <vt:lpstr>Electric bill</vt:lpstr>
      <vt:lpstr>Sales Sheet</vt:lpstr>
      <vt:lpstr>Conditional Formation</vt:lpstr>
      <vt:lpstr>Sheet3</vt:lpstr>
      <vt:lpstr>Bonus &amp; Promotion</vt:lpstr>
      <vt:lpstr>Godown</vt:lpstr>
      <vt:lpstr>Hospital</vt:lpstr>
      <vt:lpstr>ACIT 3 to 4  01-01-25</vt:lpstr>
      <vt:lpstr>ACIT 3 to 4  01-01-25 (2)</vt:lpstr>
      <vt:lpstr>duedate</vt:lpstr>
      <vt:lpstr>lastdate</vt:lpstr>
      <vt:lpstr>'Class One'!Print_Area</vt:lpstr>
      <vt:lpstr>'Bank Salary Sheet'!Print_Titles</vt:lpstr>
    </vt:vector>
  </TitlesOfParts>
  <Company>THE CAMBRIDGE CENTRE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TCC</dc:creator>
  <cp:lastModifiedBy>Admin</cp:lastModifiedBy>
  <cp:lastPrinted>2025-07-31T11:41:41Z</cp:lastPrinted>
  <dcterms:created xsi:type="dcterms:W3CDTF">2015-01-02T12:49:54Z</dcterms:created>
  <dcterms:modified xsi:type="dcterms:W3CDTF">2025-10-13T11:00:06Z</dcterms:modified>
</cp:coreProperties>
</file>