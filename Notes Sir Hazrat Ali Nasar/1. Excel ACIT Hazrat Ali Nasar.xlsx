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:\Notes Hazrat Ali Nasar\"/>
    </mc:Choice>
  </mc:AlternateContent>
  <xr:revisionPtr revIDLastSave="0" documentId="13_ncr:1_{BB05C9B9-419D-469C-A6B4-1E88BEB4B4AC}" xr6:coauthVersionLast="47" xr6:coauthVersionMax="47" xr10:uidLastSave="{00000000-0000-0000-0000-000000000000}"/>
  <bookViews>
    <workbookView xWindow="-120" yWindow="-120" windowWidth="20640" windowHeight="11040" tabRatio="674" firstSheet="10" activeTab="11" xr2:uid="{00000000-000D-0000-FFFF-FFFF00000000}"/>
  </bookViews>
  <sheets>
    <sheet name="Class One" sheetId="1" r:id="rId1"/>
    <sheet name="Database" sheetId="21" r:id="rId2"/>
    <sheet name="Formulas" sheetId="2" r:id="rId3"/>
    <sheet name="Mark Sheet" sheetId="3" r:id="rId4"/>
    <sheet name="if Logical" sheetId="4" r:id="rId5"/>
    <sheet name="Income Expense Sheet" sheetId="5" r:id="rId6"/>
    <sheet name="Bank Salary Sheet" sheetId="6" r:id="rId7"/>
    <sheet name="(if) Bank Salary Sheet" sheetId="7" r:id="rId8"/>
    <sheet name="Daily Wages Sheet" sheetId="8" r:id="rId9"/>
    <sheet name="(if)Daily Wages Sheet" sheetId="9" r:id="rId10"/>
    <sheet name="Financial Sheet" sheetId="10" r:id="rId11"/>
    <sheet name="Register" sheetId="11" r:id="rId12"/>
    <sheet name="Bank Balance Sheet" sheetId="12" r:id="rId13"/>
    <sheet name="If and Or" sheetId="13" r:id="rId14"/>
    <sheet name="Population" sheetId="14" r:id="rId15"/>
    <sheet name="Commission" sheetId="15" r:id="rId16"/>
    <sheet name="Vlookup" sheetId="16" r:id="rId17"/>
    <sheet name="Sumif" sheetId="17" r:id="rId18"/>
    <sheet name="Electric Bills" sheetId="23" r:id="rId19"/>
    <sheet name="Electric bill" sheetId="18" r:id="rId20"/>
    <sheet name="Sales Sheet" sheetId="24" r:id="rId21"/>
    <sheet name="Conditional Formation" sheetId="19" r:id="rId22"/>
    <sheet name="Sheet3" sheetId="20" r:id="rId23"/>
    <sheet name="Bonus &amp; Promotion" sheetId="25" r:id="rId24"/>
    <sheet name="Godown" sheetId="26" r:id="rId25"/>
    <sheet name="Hospital" sheetId="27" r:id="rId26"/>
    <sheet name="ACIT 3 to 4  01-01-25" sheetId="28" r:id="rId27"/>
    <sheet name="ACIT 4 to 5" sheetId="29" r:id="rId28"/>
    <sheet name="ACIT New 4 to 5" sheetId="30" r:id="rId29"/>
    <sheet name="ADIT" sheetId="31" r:id="rId30"/>
    <sheet name="Sheet1" sheetId="32" r:id="rId31"/>
  </sheets>
  <definedNames>
    <definedName name="_xlnm._FilterDatabase" localSheetId="6" hidden="1">'Bank Salary Sheet'!$A$1:$K$26</definedName>
    <definedName name="_xlnm._FilterDatabase" localSheetId="3" hidden="1">'Mark Sheet'!$B$6:$N$18</definedName>
    <definedName name="duedate">'Electric Bills'!$B$25</definedName>
    <definedName name="lastdate">'Electric Bills'!$N$4</definedName>
    <definedName name="_xlnm.Print_Area" localSheetId="0">'Class One'!$A$51:$E$74</definedName>
    <definedName name="_xlnm.Print_Titles" localSheetId="6">'Bank Salary Sheet'!$1:$1</definedName>
    <definedName name="Z_05B8E57A_BB97_41F0_B6FB_606E79293C77_.wvu.FilterData" localSheetId="3" hidden="1">'Mark Sheet'!$B$6:$N$18</definedName>
    <definedName name="Z_ABD1FCBC_BEE8_4655_B1A4_34FAC527086A_.wvu.FilterData" localSheetId="3" hidden="1">'Mark Sheet'!$B$6:$N$18</definedName>
    <definedName name="Z_D6BA57A5_118E_4B58_A351_7E1C36DA5B56_.wvu.FilterData" localSheetId="3" hidden="1">'Mark Sheet'!$B$6:$N$18</definedName>
  </definedNames>
  <calcPr calcId="191029"/>
  <customWorkbookViews>
    <customWorkbookView name="178" guid="{D6BA57A5-118E-4B58-A351-7E1C36DA5B56}" maximized="1" windowWidth="1020" windowHeight="522" tabRatio="674" activeSheetId="3"/>
    <customWorkbookView name="IRFAN AFRIDI - Personal View" guid="{05B8E57A-BB97-41F0-B6FB-606E79293C77}" mergeInterval="0" personalView="1" maximized="1" windowWidth="1020" windowHeight="522" tabRatio="674" activeSheetId="3"/>
    <customWorkbookView name="TCC TMPS - Personal View" guid="{3C013989-8552-4FE1-BB7E-C88994E2D13D}" mergeInterval="0" personalView="1" maximized="1" xWindow="1" yWindow="1" windowWidth="1024" windowHeight="538" tabRatio="674" activeSheetId="3"/>
    <customWorkbookView name="aa" guid="{75B547B5-834C-4784-8C45-4C35B93C736F}" maximized="1" xWindow="1" yWindow="1" windowWidth="1024" windowHeight="538" tabRatio="674" activeSheetId="3"/>
  </customWorkbookViews>
</workbook>
</file>

<file path=xl/calcChain.xml><?xml version="1.0" encoding="utf-8"?>
<calcChain xmlns="http://schemas.openxmlformats.org/spreadsheetml/2006/main">
  <c r="AI50" i="11" l="1"/>
  <c r="AH50" i="11"/>
  <c r="AJ50" i="11" s="1"/>
  <c r="AG50" i="11"/>
  <c r="AK50" i="11" s="1"/>
  <c r="AL50" i="11" s="1"/>
  <c r="AJ49" i="11"/>
  <c r="AI49" i="11"/>
  <c r="AH49" i="11"/>
  <c r="AG49" i="11"/>
  <c r="AK49" i="11" s="1"/>
  <c r="AL49" i="11" s="1"/>
  <c r="AI48" i="11"/>
  <c r="AH48" i="11"/>
  <c r="AJ48" i="11" s="1"/>
  <c r="AG48" i="11"/>
  <c r="AK48" i="11" s="1"/>
  <c r="AL48" i="11" s="1"/>
  <c r="AJ47" i="11"/>
  <c r="AI47" i="11"/>
  <c r="AH47" i="11"/>
  <c r="AG47" i="11"/>
  <c r="AK47" i="11" s="1"/>
  <c r="AL47" i="11" s="1"/>
  <c r="AI46" i="11"/>
  <c r="AH46" i="11"/>
  <c r="AJ46" i="11" s="1"/>
  <c r="AG46" i="11"/>
  <c r="AK46" i="11" s="1"/>
  <c r="AL46" i="11" s="1"/>
  <c r="AJ45" i="11"/>
  <c r="AI45" i="11"/>
  <c r="AH45" i="11"/>
  <c r="AG45" i="11"/>
  <c r="AK45" i="11" s="1"/>
  <c r="AL45" i="11" s="1"/>
  <c r="AI44" i="11"/>
  <c r="AH44" i="11"/>
  <c r="AJ44" i="11" s="1"/>
  <c r="AG44" i="11"/>
  <c r="AK44" i="11" s="1"/>
  <c r="AL44" i="11" s="1"/>
  <c r="AJ43" i="11"/>
  <c r="AI43" i="11"/>
  <c r="AH43" i="11"/>
  <c r="AG43" i="11"/>
  <c r="AK43" i="11" s="1"/>
  <c r="AL43" i="11" s="1"/>
  <c r="AI34" i="11"/>
  <c r="AH34" i="11"/>
  <c r="AJ34" i="11" s="1"/>
  <c r="AG34" i="11"/>
  <c r="AK34" i="11" s="1"/>
  <c r="AL34" i="11" s="1"/>
  <c r="AJ33" i="11"/>
  <c r="AI33" i="11"/>
  <c r="AH33" i="11"/>
  <c r="AG33" i="11"/>
  <c r="AK33" i="11" s="1"/>
  <c r="AL33" i="11" s="1"/>
  <c r="AI32" i="11"/>
  <c r="AH32" i="11"/>
  <c r="AJ32" i="11" s="1"/>
  <c r="AG32" i="11"/>
  <c r="AK32" i="11" s="1"/>
  <c r="AL32" i="11" s="1"/>
  <c r="AJ31" i="11"/>
  <c r="AI31" i="11"/>
  <c r="AH31" i="11"/>
  <c r="AG31" i="11"/>
  <c r="AK31" i="11" s="1"/>
  <c r="AL31" i="11" s="1"/>
  <c r="AI30" i="11"/>
  <c r="AH30" i="11"/>
  <c r="AJ30" i="11" s="1"/>
  <c r="AG30" i="11"/>
  <c r="AK30" i="11" s="1"/>
  <c r="AL30" i="11" s="1"/>
  <c r="AJ29" i="11"/>
  <c r="AI29" i="11"/>
  <c r="AH29" i="11"/>
  <c r="AG29" i="11"/>
  <c r="AK29" i="11" s="1"/>
  <c r="AL29" i="11" s="1"/>
  <c r="AI28" i="11"/>
  <c r="AH28" i="11"/>
  <c r="AJ28" i="11" s="1"/>
  <c r="AG28" i="11"/>
  <c r="AK28" i="11" s="1"/>
  <c r="AL28" i="11" s="1"/>
  <c r="AJ27" i="11"/>
  <c r="AI27" i="11"/>
  <c r="AH27" i="11"/>
  <c r="AG27" i="11"/>
  <c r="AK27" i="11" s="1"/>
  <c r="AL27" i="11" s="1"/>
  <c r="AI26" i="11"/>
  <c r="AH26" i="11"/>
  <c r="AJ26" i="11" s="1"/>
  <c r="AG26" i="11"/>
  <c r="AK26" i="11" s="1"/>
  <c r="AL26" i="11" s="1"/>
  <c r="AJ25" i="11"/>
  <c r="AI25" i="11"/>
  <c r="AH25" i="11"/>
  <c r="AG25" i="11"/>
  <c r="AK25" i="11" s="1"/>
  <c r="AL25" i="11" s="1"/>
  <c r="AI24" i="11"/>
  <c r="AH24" i="11"/>
  <c r="AJ24" i="11" s="1"/>
  <c r="AG24" i="11"/>
  <c r="AK24" i="11" s="1"/>
  <c r="AL24" i="11" s="1"/>
  <c r="AJ23" i="11"/>
  <c r="AI23" i="11"/>
  <c r="AH23" i="11"/>
  <c r="AG23" i="11"/>
  <c r="AK23" i="11" s="1"/>
  <c r="AL23" i="11" s="1"/>
  <c r="AI22" i="11"/>
  <c r="AH22" i="11"/>
  <c r="AJ22" i="11" s="1"/>
  <c r="AG22" i="11"/>
  <c r="AK22" i="11" s="1"/>
  <c r="AL22" i="11" s="1"/>
  <c r="AJ21" i="11"/>
  <c r="AI21" i="11"/>
  <c r="AH21" i="11"/>
  <c r="AG21" i="11"/>
  <c r="AK21" i="11" s="1"/>
  <c r="AL21" i="11" s="1"/>
  <c r="AI20" i="11"/>
  <c r="AH20" i="11"/>
  <c r="AJ20" i="11" s="1"/>
  <c r="AG20" i="11"/>
  <c r="AK20" i="11" s="1"/>
  <c r="AL20" i="11" s="1"/>
  <c r="AJ19" i="11"/>
  <c r="AI19" i="11"/>
  <c r="AH19" i="11"/>
  <c r="AG19" i="11"/>
  <c r="AK19" i="11" s="1"/>
  <c r="AL19" i="11" s="1"/>
  <c r="AI18" i="11"/>
  <c r="AH18" i="11"/>
  <c r="AJ18" i="11" s="1"/>
  <c r="AG18" i="11"/>
  <c r="AK18" i="11" s="1"/>
  <c r="AL18" i="11" s="1"/>
  <c r="AJ17" i="11"/>
  <c r="AI17" i="11"/>
  <c r="AH17" i="11"/>
  <c r="AG17" i="11"/>
  <c r="AK17" i="11" s="1"/>
  <c r="AL17" i="11" s="1"/>
  <c r="AI16" i="11"/>
  <c r="AH16" i="11"/>
  <c r="AJ16" i="11" s="1"/>
  <c r="AG16" i="11"/>
  <c r="AK16" i="11" s="1"/>
  <c r="AL16" i="11" s="1"/>
  <c r="AJ15" i="11"/>
  <c r="AI15" i="11"/>
  <c r="AH15" i="11"/>
  <c r="AG15" i="11"/>
  <c r="AK15" i="11" s="1"/>
  <c r="AL15" i="11" s="1"/>
  <c r="AI14" i="11"/>
  <c r="AH14" i="11"/>
  <c r="AJ14" i="11" s="1"/>
  <c r="AG14" i="11"/>
  <c r="AK14" i="11" s="1"/>
  <c r="AL14" i="11" s="1"/>
  <c r="AJ13" i="11"/>
  <c r="AI13" i="11"/>
  <c r="AH13" i="11"/>
  <c r="AG13" i="11"/>
  <c r="AK13" i="11" s="1"/>
  <c r="AL13" i="11" s="1"/>
  <c r="AI12" i="11"/>
  <c r="AH12" i="11"/>
  <c r="AJ12" i="11" s="1"/>
  <c r="AG12" i="11"/>
  <c r="AK12" i="11" s="1"/>
  <c r="AL12" i="11" s="1"/>
  <c r="AJ11" i="11"/>
  <c r="AI11" i="11"/>
  <c r="AH11" i="11"/>
  <c r="AG11" i="11"/>
  <c r="AK11" i="11" s="1"/>
  <c r="AL11" i="11" s="1"/>
  <c r="AI10" i="11"/>
  <c r="AH10" i="11"/>
  <c r="AJ10" i="11" s="1"/>
  <c r="AG10" i="11"/>
  <c r="AK10" i="11" s="1"/>
  <c r="AL10" i="11" s="1"/>
  <c r="AJ9" i="11"/>
  <c r="AI9" i="11"/>
  <c r="AH9" i="11"/>
  <c r="AG9" i="11"/>
  <c r="AK9" i="11" s="1"/>
  <c r="AL9" i="11" s="1"/>
  <c r="AI8" i="11"/>
  <c r="AH8" i="11"/>
  <c r="AJ8" i="11" s="1"/>
  <c r="AG8" i="11"/>
  <c r="AK8" i="11" s="1"/>
  <c r="AL8" i="11" s="1"/>
  <c r="AJ7" i="11"/>
  <c r="AI7" i="11"/>
  <c r="AH7" i="11"/>
  <c r="AG7" i="11"/>
  <c r="AK7" i="11" s="1"/>
  <c r="AL7" i="11" s="1"/>
  <c r="AI6" i="11"/>
  <c r="AH6" i="11"/>
  <c r="AJ6" i="11" s="1"/>
  <c r="AG6" i="11"/>
  <c r="AK6" i="11" s="1"/>
  <c r="AL6" i="11" s="1"/>
  <c r="AJ5" i="11"/>
  <c r="AI5" i="11"/>
  <c r="AH5" i="11"/>
  <c r="AG5" i="11"/>
  <c r="AK5" i="11" s="1"/>
  <c r="AL5" i="11" s="1"/>
  <c r="AI4" i="11"/>
  <c r="AH4" i="11"/>
  <c r="AJ4" i="11" s="1"/>
  <c r="AG4" i="11"/>
  <c r="AK4" i="11" s="1"/>
  <c r="AL4" i="11" s="1"/>
  <c r="AJ3" i="11"/>
  <c r="AI3" i="11"/>
  <c r="AH3" i="11"/>
  <c r="AG3" i="11"/>
  <c r="AK3" i="11" s="1"/>
  <c r="AL3" i="11" s="1"/>
  <c r="C3" i="2"/>
  <c r="H31" i="2"/>
  <c r="F34" i="2"/>
  <c r="N53" i="2"/>
  <c r="J18" i="2"/>
  <c r="H21" i="2"/>
  <c r="H20" i="2"/>
  <c r="H19" i="2"/>
  <c r="H14" i="3"/>
  <c r="H15" i="3"/>
  <c r="H16" i="3"/>
  <c r="H17" i="3"/>
  <c r="F3" i="6"/>
  <c r="G3" i="6"/>
  <c r="E3" i="6"/>
  <c r="C18" i="5"/>
  <c r="B18" i="5"/>
  <c r="B19" i="5" s="1"/>
  <c r="G43" i="1"/>
  <c r="G44" i="1"/>
  <c r="F42" i="1"/>
  <c r="G42" i="1" s="1"/>
  <c r="F43" i="1"/>
  <c r="H43" i="1" s="1"/>
  <c r="F44" i="1"/>
  <c r="H44" i="1" s="1"/>
  <c r="F45" i="1"/>
  <c r="G45" i="1" s="1"/>
  <c r="F46" i="1"/>
  <c r="G46" i="1" s="1"/>
  <c r="F41" i="1"/>
  <c r="G41" i="1" s="1"/>
  <c r="G28" i="3"/>
  <c r="H41" i="1" l="1"/>
  <c r="H46" i="1"/>
  <c r="H42" i="1"/>
  <c r="H45" i="1"/>
  <c r="H3" i="6"/>
  <c r="L7" i="3"/>
  <c r="I5" i="13"/>
  <c r="I4" i="13"/>
  <c r="I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3" i="13"/>
  <c r="E52" i="4"/>
  <c r="E53" i="4"/>
  <c r="E54" i="4"/>
  <c r="E55" i="4"/>
  <c r="E56" i="4"/>
  <c r="E57" i="4"/>
  <c r="E58" i="4"/>
  <c r="E59" i="4"/>
  <c r="E51" i="4"/>
  <c r="E36" i="4"/>
  <c r="E37" i="4"/>
  <c r="E38" i="4"/>
  <c r="E39" i="4"/>
  <c r="E40" i="4"/>
  <c r="E41" i="4"/>
  <c r="E42" i="4"/>
  <c r="E43" i="4"/>
  <c r="E44" i="4"/>
  <c r="E45" i="4"/>
  <c r="E46" i="4"/>
  <c r="E35" i="4"/>
  <c r="I3" i="6" l="1"/>
  <c r="J3" i="6" s="1"/>
  <c r="H11" i="3"/>
  <c r="J11" i="3" s="1"/>
  <c r="J15" i="3"/>
  <c r="H18" i="3"/>
  <c r="J14" i="3"/>
  <c r="H10" i="3"/>
  <c r="J10" i="3" s="1"/>
  <c r="J17" i="3"/>
  <c r="H13" i="3"/>
  <c r="J13" i="3" s="1"/>
  <c r="H9" i="3"/>
  <c r="J9" i="3" s="1"/>
  <c r="H12" i="3"/>
  <c r="J12" i="3" s="1"/>
  <c r="H8" i="3"/>
  <c r="J8" i="3" s="1"/>
  <c r="H7" i="3"/>
  <c r="J7" i="3" s="1"/>
  <c r="I60" i="2"/>
  <c r="F58" i="2"/>
  <c r="F49" i="2"/>
  <c r="H37" i="2"/>
  <c r="F24" i="2"/>
  <c r="C15" i="2"/>
  <c r="C16" i="2" s="1"/>
  <c r="G12" i="2"/>
  <c r="C5" i="2"/>
  <c r="J18" i="3" l="1"/>
  <c r="D28" i="3" s="1"/>
  <c r="C28" i="3"/>
  <c r="J16" i="3"/>
  <c r="AI15" i="31" l="1"/>
  <c r="AI14" i="31"/>
  <c r="AI13" i="31"/>
  <c r="AI12" i="31"/>
  <c r="AI11" i="31"/>
  <c r="AI10" i="31"/>
  <c r="AG9" i="31"/>
  <c r="AF9" i="31"/>
  <c r="AH9" i="31" s="1"/>
  <c r="AE9" i="31"/>
  <c r="AI9" i="31" s="1"/>
  <c r="AJ9" i="31" s="1"/>
  <c r="AG7" i="31"/>
  <c r="AF7" i="31"/>
  <c r="AH7" i="31" s="1"/>
  <c r="AE7" i="31"/>
  <c r="AI7" i="31" s="1"/>
  <c r="AJ7" i="31" s="1"/>
  <c r="AG6" i="31"/>
  <c r="AF6" i="31"/>
  <c r="AH6" i="31" s="1"/>
  <c r="AE6" i="31"/>
  <c r="AI6" i="31" s="1"/>
  <c r="AJ6" i="31" s="1"/>
  <c r="AG5" i="31"/>
  <c r="AF5" i="31"/>
  <c r="AH5" i="31" s="1"/>
  <c r="AE5" i="31"/>
  <c r="AI5" i="31" s="1"/>
  <c r="AJ5" i="31" s="1"/>
  <c r="AG8" i="31"/>
  <c r="AF8" i="31"/>
  <c r="AH8" i="31" s="1"/>
  <c r="AE8" i="31"/>
  <c r="AI8" i="31" s="1"/>
  <c r="AJ8" i="31" s="1"/>
  <c r="AG4" i="31"/>
  <c r="AF4" i="31"/>
  <c r="AH4" i="31" s="1"/>
  <c r="AE4" i="31"/>
  <c r="AI4" i="31" s="1"/>
  <c r="AJ4" i="31" s="1"/>
  <c r="AG3" i="31"/>
  <c r="AF3" i="31"/>
  <c r="AH3" i="31" s="1"/>
  <c r="AE3" i="31"/>
  <c r="AI3" i="31" s="1"/>
  <c r="AJ3" i="31" s="1"/>
  <c r="AG2" i="31"/>
  <c r="AF2" i="31"/>
  <c r="AH2" i="31" s="1"/>
  <c r="AE2" i="31"/>
  <c r="AI2" i="31" s="1"/>
  <c r="AJ2" i="31" s="1"/>
  <c r="AH16" i="30" l="1"/>
  <c r="AH15" i="30"/>
  <c r="AH14" i="30"/>
  <c r="AH13" i="30"/>
  <c r="AH12" i="30"/>
  <c r="AH11" i="30"/>
  <c r="AF10" i="30"/>
  <c r="AE10" i="30"/>
  <c r="AG10" i="30" s="1"/>
  <c r="AD10" i="30"/>
  <c r="AH10" i="30" s="1"/>
  <c r="AI10" i="30" s="1"/>
  <c r="AF9" i="30"/>
  <c r="AE9" i="30"/>
  <c r="AG9" i="30" s="1"/>
  <c r="AD9" i="30"/>
  <c r="AH9" i="30" s="1"/>
  <c r="AI9" i="30" s="1"/>
  <c r="AF8" i="30"/>
  <c r="AE8" i="30"/>
  <c r="AG8" i="30" s="1"/>
  <c r="AD8" i="30"/>
  <c r="AH8" i="30" s="1"/>
  <c r="AI8" i="30" s="1"/>
  <c r="AF7" i="30"/>
  <c r="AE7" i="30"/>
  <c r="AG7" i="30" s="1"/>
  <c r="AD7" i="30"/>
  <c r="AH7" i="30" s="1"/>
  <c r="AI7" i="30" s="1"/>
  <c r="AF6" i="30"/>
  <c r="AE6" i="30"/>
  <c r="AG6" i="30" s="1"/>
  <c r="AD6" i="30"/>
  <c r="AH6" i="30" s="1"/>
  <c r="AI6" i="30" s="1"/>
  <c r="AF5" i="30"/>
  <c r="AE5" i="30"/>
  <c r="AG5" i="30" s="1"/>
  <c r="AD5" i="30"/>
  <c r="AH5" i="30" s="1"/>
  <c r="AI5" i="30" s="1"/>
  <c r="AF4" i="30"/>
  <c r="AE4" i="30"/>
  <c r="AG4" i="30" s="1"/>
  <c r="AD4" i="30"/>
  <c r="AH4" i="30" s="1"/>
  <c r="AI4" i="30" s="1"/>
  <c r="AF3" i="30"/>
  <c r="AE3" i="30"/>
  <c r="AG3" i="30" s="1"/>
  <c r="AD3" i="30"/>
  <c r="AH3" i="30" s="1"/>
  <c r="AI3" i="30" s="1"/>
  <c r="AF2" i="30"/>
  <c r="AE2" i="30"/>
  <c r="AG2" i="30" s="1"/>
  <c r="AD2" i="30"/>
  <c r="AH2" i="30" s="1"/>
  <c r="AI2" i="30" s="1"/>
  <c r="AH16" i="29" l="1"/>
  <c r="AH15" i="29"/>
  <c r="AH14" i="29"/>
  <c r="AH13" i="29"/>
  <c r="AH12" i="29"/>
  <c r="AH11" i="29"/>
  <c r="AF10" i="29"/>
  <c r="AE10" i="29"/>
  <c r="AG10" i="29" s="1"/>
  <c r="AD10" i="29"/>
  <c r="AH10" i="29" s="1"/>
  <c r="AI10" i="29" s="1"/>
  <c r="AF9" i="29"/>
  <c r="AE9" i="29"/>
  <c r="AG9" i="29" s="1"/>
  <c r="AD9" i="29"/>
  <c r="AH9" i="29" s="1"/>
  <c r="AI9" i="29" s="1"/>
  <c r="AF8" i="29"/>
  <c r="AE8" i="29"/>
  <c r="AG8" i="29" s="1"/>
  <c r="AD8" i="29"/>
  <c r="AH8" i="29" s="1"/>
  <c r="AI8" i="29" s="1"/>
  <c r="AF7" i="29"/>
  <c r="AE7" i="29"/>
  <c r="AG7" i="29" s="1"/>
  <c r="AD7" i="29"/>
  <c r="AH7" i="29" s="1"/>
  <c r="AI7" i="29" s="1"/>
  <c r="AF6" i="29"/>
  <c r="AE6" i="29"/>
  <c r="AG6" i="29" s="1"/>
  <c r="AD6" i="29"/>
  <c r="AH6" i="29" s="1"/>
  <c r="AI6" i="29" s="1"/>
  <c r="AF5" i="29"/>
  <c r="AE5" i="29"/>
  <c r="AG5" i="29" s="1"/>
  <c r="AD5" i="29"/>
  <c r="AH5" i="29" s="1"/>
  <c r="AI5" i="29" s="1"/>
  <c r="AF4" i="29"/>
  <c r="AE4" i="29"/>
  <c r="AG4" i="29" s="1"/>
  <c r="AD4" i="29"/>
  <c r="AH4" i="29" s="1"/>
  <c r="AI4" i="29" s="1"/>
  <c r="AF3" i="29"/>
  <c r="AE3" i="29"/>
  <c r="AG3" i="29" s="1"/>
  <c r="AD3" i="29"/>
  <c r="AH3" i="29" s="1"/>
  <c r="AI3" i="29" s="1"/>
  <c r="AF2" i="29"/>
  <c r="AE2" i="29"/>
  <c r="AG2" i="29" s="1"/>
  <c r="AD2" i="29"/>
  <c r="AH2" i="29" s="1"/>
  <c r="AI2" i="29" s="1"/>
  <c r="G38" i="4" l="1"/>
  <c r="G37" i="4"/>
  <c r="G36" i="4"/>
  <c r="G39" i="4"/>
  <c r="G40" i="4"/>
  <c r="G41" i="4"/>
  <c r="G42" i="4"/>
  <c r="G43" i="4"/>
  <c r="G44" i="4"/>
  <c r="G45" i="4"/>
  <c r="G46" i="4"/>
  <c r="G35" i="4"/>
  <c r="G17" i="4"/>
  <c r="G18" i="4"/>
  <c r="G19" i="4"/>
  <c r="G20" i="4"/>
  <c r="G21" i="4"/>
  <c r="G23" i="4"/>
  <c r="G16" i="4"/>
  <c r="G24" i="4"/>
  <c r="G25" i="4"/>
  <c r="G26" i="4"/>
  <c r="G27" i="4"/>
  <c r="G28" i="4"/>
  <c r="G29" i="4"/>
  <c r="G30" i="4"/>
  <c r="G47" i="4" l="1"/>
  <c r="G5" i="4"/>
  <c r="F4" i="4"/>
  <c r="G4" i="4" s="1"/>
  <c r="B14" i="4"/>
  <c r="B11" i="4"/>
  <c r="B9" i="4"/>
  <c r="G3" i="4"/>
  <c r="C23" i="2" l="1"/>
  <c r="C30" i="2"/>
  <c r="C25" i="2"/>
  <c r="C32" i="2"/>
  <c r="C27" i="2"/>
  <c r="C37" i="2"/>
  <c r="C43" i="2" s="1"/>
  <c r="C35" i="2"/>
  <c r="C29" i="2"/>
  <c r="C41" i="2" l="1"/>
  <c r="C39" i="2"/>
  <c r="D51" i="1"/>
  <c r="D50" i="1"/>
  <c r="C50" i="1"/>
  <c r="C48" i="1"/>
  <c r="C10" i="1"/>
  <c r="E49" i="1"/>
  <c r="E48" i="1"/>
  <c r="AH16" i="28" l="1"/>
  <c r="AH15" i="28"/>
  <c r="AH14" i="28"/>
  <c r="AH13" i="28"/>
  <c r="AH12" i="28"/>
  <c r="AH11" i="28"/>
  <c r="AF10" i="28"/>
  <c r="AE10" i="28"/>
  <c r="AG10" i="28" s="1"/>
  <c r="AD10" i="28"/>
  <c r="AH10" i="28" s="1"/>
  <c r="AI10" i="28" s="1"/>
  <c r="AF9" i="28"/>
  <c r="AE9" i="28"/>
  <c r="AG9" i="28" s="1"/>
  <c r="AD9" i="28"/>
  <c r="AH9" i="28" s="1"/>
  <c r="AI9" i="28" s="1"/>
  <c r="AF8" i="28"/>
  <c r="AE8" i="28"/>
  <c r="AG8" i="28" s="1"/>
  <c r="AD8" i="28"/>
  <c r="AH8" i="28" s="1"/>
  <c r="AI8" i="28" s="1"/>
  <c r="AF7" i="28"/>
  <c r="AE7" i="28"/>
  <c r="AG7" i="28" s="1"/>
  <c r="AD7" i="28"/>
  <c r="AH7" i="28" s="1"/>
  <c r="AI7" i="28" s="1"/>
  <c r="AF6" i="28"/>
  <c r="AE6" i="28"/>
  <c r="AG6" i="28" s="1"/>
  <c r="AD6" i="28"/>
  <c r="AH6" i="28" s="1"/>
  <c r="AI6" i="28" s="1"/>
  <c r="AF5" i="28"/>
  <c r="AE5" i="28"/>
  <c r="AG5" i="28" s="1"/>
  <c r="AD5" i="28"/>
  <c r="AH5" i="28" s="1"/>
  <c r="AI5" i="28" s="1"/>
  <c r="AF4" i="28"/>
  <c r="AE4" i="28"/>
  <c r="AG4" i="28" s="1"/>
  <c r="AD4" i="28"/>
  <c r="AH4" i="28" s="1"/>
  <c r="AI4" i="28" s="1"/>
  <c r="AF3" i="28"/>
  <c r="AE3" i="28"/>
  <c r="AG3" i="28" s="1"/>
  <c r="AD3" i="28"/>
  <c r="AH3" i="28" s="1"/>
  <c r="AI3" i="28" s="1"/>
  <c r="AF2" i="28"/>
  <c r="AE2" i="28"/>
  <c r="AG2" i="28" s="1"/>
  <c r="AD2" i="28"/>
  <c r="AH2" i="28" s="1"/>
  <c r="AI2" i="28" s="1"/>
  <c r="D2" i="15" l="1"/>
  <c r="F3" i="15"/>
  <c r="F4" i="15"/>
  <c r="F5" i="15"/>
  <c r="F6" i="15"/>
  <c r="F7" i="15"/>
  <c r="F8" i="15"/>
  <c r="F9" i="15"/>
  <c r="F10" i="15"/>
  <c r="F11" i="15"/>
  <c r="F12" i="15"/>
  <c r="F13" i="15"/>
  <c r="F2" i="15"/>
  <c r="E2" i="15"/>
  <c r="D3" i="15"/>
  <c r="E3" i="15" s="1"/>
  <c r="D4" i="15"/>
  <c r="E4" i="15" s="1"/>
  <c r="D5" i="15"/>
  <c r="E5" i="15" s="1"/>
  <c r="D6" i="15"/>
  <c r="E6" i="15" s="1"/>
  <c r="G6" i="15" s="1"/>
  <c r="D7" i="15"/>
  <c r="E7" i="15" s="1"/>
  <c r="D8" i="15"/>
  <c r="E8" i="15" s="1"/>
  <c r="D9" i="15"/>
  <c r="E9" i="15" s="1"/>
  <c r="D10" i="15"/>
  <c r="E10" i="15" s="1"/>
  <c r="D11" i="15"/>
  <c r="E11" i="15" s="1"/>
  <c r="D12" i="15"/>
  <c r="E12" i="15" s="1"/>
  <c r="D13" i="15"/>
  <c r="E13" i="15" s="1"/>
  <c r="G12" i="15" l="1"/>
  <c r="G4" i="15"/>
  <c r="G11" i="15"/>
  <c r="G3" i="15"/>
  <c r="G2" i="15"/>
  <c r="G10" i="15"/>
  <c r="G5" i="15"/>
  <c r="B20" i="15"/>
  <c r="G9" i="15"/>
  <c r="G8" i="15"/>
  <c r="G7" i="15"/>
  <c r="G13" i="15"/>
  <c r="B19" i="15"/>
  <c r="F21" i="27"/>
  <c r="D21" i="27"/>
  <c r="G21" i="27" s="1"/>
  <c r="F20" i="27"/>
  <c r="D20" i="27"/>
  <c r="G20" i="27" s="1"/>
  <c r="F19" i="27"/>
  <c r="D19" i="27"/>
  <c r="G19" i="27" s="1"/>
  <c r="G18" i="27"/>
  <c r="F18" i="27"/>
  <c r="D18" i="27"/>
  <c r="F17" i="27"/>
  <c r="D17" i="27"/>
  <c r="G17" i="27" s="1"/>
  <c r="F16" i="27"/>
  <c r="D16" i="27"/>
  <c r="G16" i="27" s="1"/>
  <c r="G15" i="27"/>
  <c r="F15" i="27"/>
  <c r="D15" i="27"/>
  <c r="F14" i="27"/>
  <c r="D14" i="27"/>
  <c r="G14" i="27" s="1"/>
  <c r="F13" i="27"/>
  <c r="D13" i="27"/>
  <c r="G13" i="27" s="1"/>
  <c r="F12" i="27"/>
  <c r="D12" i="27"/>
  <c r="G12" i="27" s="1"/>
  <c r="F11" i="27"/>
  <c r="D11" i="27"/>
  <c r="G11" i="27" s="1"/>
  <c r="G10" i="27"/>
  <c r="F10" i="27"/>
  <c r="D10" i="27"/>
  <c r="F9" i="27"/>
  <c r="D9" i="27"/>
  <c r="G9" i="27" s="1"/>
  <c r="H21" i="27" l="1"/>
  <c r="I21" i="27" s="1"/>
  <c r="H12" i="27"/>
  <c r="I12" i="27" s="1"/>
  <c r="H16" i="27"/>
  <c r="I16" i="27" s="1"/>
  <c r="H9" i="27"/>
  <c r="I9" i="27" s="1"/>
  <c r="H13" i="27"/>
  <c r="I13" i="27" s="1"/>
  <c r="I19" i="27"/>
  <c r="H17" i="27"/>
  <c r="I17" i="27" s="1"/>
  <c r="H20" i="27"/>
  <c r="I20" i="27" s="1"/>
  <c r="H10" i="27"/>
  <c r="I10" i="27" s="1"/>
  <c r="H18" i="27"/>
  <c r="I18" i="27" s="1"/>
  <c r="H15" i="27"/>
  <c r="I15" i="27" s="1"/>
  <c r="H14" i="27"/>
  <c r="I14" i="27" s="1"/>
  <c r="H11" i="27"/>
  <c r="I11" i="27" s="1"/>
  <c r="H19" i="27"/>
  <c r="K25" i="26" l="1"/>
  <c r="J25" i="26"/>
  <c r="I25" i="26"/>
  <c r="H25" i="26"/>
  <c r="G25" i="26"/>
  <c r="F25" i="26"/>
  <c r="K11" i="26"/>
  <c r="N7" i="26" s="1"/>
  <c r="B2" i="26" s="1"/>
  <c r="C2" i="26" s="1"/>
  <c r="J11" i="26"/>
  <c r="N6" i="26" s="1"/>
  <c r="I11" i="26"/>
  <c r="H11" i="26"/>
  <c r="G11" i="26"/>
  <c r="N3" i="26" s="1"/>
  <c r="F11" i="26"/>
  <c r="N2" i="26" s="1"/>
  <c r="N4" i="26" l="1"/>
  <c r="N5" i="26"/>
  <c r="F26" i="25"/>
  <c r="H9" i="25"/>
  <c r="I9" i="25" s="1"/>
  <c r="F9" i="25"/>
  <c r="G9" i="25" s="1"/>
  <c r="H8" i="25"/>
  <c r="I8" i="25" s="1"/>
  <c r="F8" i="25"/>
  <c r="G8" i="25" s="1"/>
  <c r="H7" i="25"/>
  <c r="I7" i="25" s="1"/>
  <c r="F7" i="25"/>
  <c r="G7" i="25" s="1"/>
  <c r="K17" i="19" l="1"/>
  <c r="K16" i="19"/>
  <c r="K14" i="19"/>
  <c r="K15" i="19"/>
  <c r="K13" i="19"/>
  <c r="C24" i="24" l="1"/>
  <c r="F22" i="24"/>
  <c r="G22" i="24" s="1"/>
  <c r="D22" i="24"/>
  <c r="E22" i="24" s="1"/>
  <c r="F21" i="24"/>
  <c r="G21" i="24" s="1"/>
  <c r="D21" i="24"/>
  <c r="E21" i="24" s="1"/>
  <c r="I21" i="24" s="1"/>
  <c r="F20" i="24"/>
  <c r="G20" i="24" s="1"/>
  <c r="H20" i="24" s="1"/>
  <c r="D20" i="24"/>
  <c r="E20" i="24" s="1"/>
  <c r="G19" i="24"/>
  <c r="F19" i="24"/>
  <c r="D19" i="24"/>
  <c r="E19" i="24" s="1"/>
  <c r="I19" i="24" s="1"/>
  <c r="F18" i="24"/>
  <c r="G18" i="24" s="1"/>
  <c r="D18" i="24"/>
  <c r="E18" i="24" s="1"/>
  <c r="I18" i="24" s="1"/>
  <c r="F17" i="24"/>
  <c r="G17" i="24" s="1"/>
  <c r="D17" i="24"/>
  <c r="E17" i="24" s="1"/>
  <c r="I17" i="24" s="1"/>
  <c r="F16" i="24"/>
  <c r="G16" i="24" s="1"/>
  <c r="D16" i="24"/>
  <c r="E16" i="24" s="1"/>
  <c r="G15" i="24"/>
  <c r="F15" i="24"/>
  <c r="D15" i="24"/>
  <c r="E15" i="24" s="1"/>
  <c r="I15" i="24" s="1"/>
  <c r="F14" i="24"/>
  <c r="G14" i="24" s="1"/>
  <c r="D14" i="24"/>
  <c r="E14" i="24" s="1"/>
  <c r="F13" i="24"/>
  <c r="G13" i="24" s="1"/>
  <c r="D13" i="24"/>
  <c r="E13" i="24" s="1"/>
  <c r="I13" i="24" s="1"/>
  <c r="F12" i="24"/>
  <c r="G12" i="24" s="1"/>
  <c r="D12" i="24"/>
  <c r="E12" i="24" s="1"/>
  <c r="G11" i="24"/>
  <c r="F11" i="24"/>
  <c r="D11" i="24"/>
  <c r="E11" i="24" s="1"/>
  <c r="I11" i="24" s="1"/>
  <c r="F10" i="24"/>
  <c r="G10" i="24" s="1"/>
  <c r="D10" i="24"/>
  <c r="E10" i="24" s="1"/>
  <c r="I10" i="24" s="1"/>
  <c r="F9" i="24"/>
  <c r="G9" i="24" s="1"/>
  <c r="D9" i="24"/>
  <c r="E9" i="24" s="1"/>
  <c r="I9" i="24" s="1"/>
  <c r="F8" i="24"/>
  <c r="G8" i="24" s="1"/>
  <c r="D8" i="24"/>
  <c r="E8" i="24" s="1"/>
  <c r="G7" i="24"/>
  <c r="F7" i="24"/>
  <c r="D7" i="24"/>
  <c r="E7" i="24" s="1"/>
  <c r="I7" i="24" s="1"/>
  <c r="F6" i="24"/>
  <c r="G6" i="24" s="1"/>
  <c r="D6" i="24"/>
  <c r="E6" i="24" s="1"/>
  <c r="H7" i="24" l="1"/>
  <c r="H11" i="24"/>
  <c r="H10" i="24"/>
  <c r="H14" i="24"/>
  <c r="H15" i="24"/>
  <c r="H18" i="24"/>
  <c r="H19" i="24"/>
  <c r="H22" i="24"/>
  <c r="I8" i="24"/>
  <c r="I12" i="24"/>
  <c r="I16" i="24"/>
  <c r="I20" i="24"/>
  <c r="H17" i="24"/>
  <c r="G24" i="24"/>
  <c r="H6" i="24"/>
  <c r="H9" i="24"/>
  <c r="H12" i="24"/>
  <c r="H21" i="24"/>
  <c r="H13" i="24"/>
  <c r="E24" i="24"/>
  <c r="H8" i="24"/>
  <c r="I14" i="24"/>
  <c r="H16" i="24"/>
  <c r="I22" i="24"/>
  <c r="I6" i="24"/>
  <c r="J21" i="23"/>
  <c r="E21" i="23"/>
  <c r="F21" i="23" s="1"/>
  <c r="H21" i="23" s="1"/>
  <c r="J20" i="23"/>
  <c r="E20" i="23"/>
  <c r="F20" i="23" s="1"/>
  <c r="H20" i="23" s="1"/>
  <c r="J19" i="23"/>
  <c r="E19" i="23"/>
  <c r="F19" i="23" s="1"/>
  <c r="H19" i="23" s="1"/>
  <c r="J18" i="23"/>
  <c r="E18" i="23"/>
  <c r="F18" i="23" s="1"/>
  <c r="H18" i="23" s="1"/>
  <c r="J17" i="23"/>
  <c r="F17" i="23"/>
  <c r="H17" i="23" s="1"/>
  <c r="E17" i="23"/>
  <c r="J16" i="23"/>
  <c r="E16" i="23"/>
  <c r="F16" i="23" s="1"/>
  <c r="H16" i="23" s="1"/>
  <c r="J15" i="23"/>
  <c r="E15" i="23"/>
  <c r="F15" i="23" s="1"/>
  <c r="H15" i="23" s="1"/>
  <c r="J14" i="23"/>
  <c r="E14" i="23"/>
  <c r="F14" i="23" s="1"/>
  <c r="H14" i="23" s="1"/>
  <c r="E13" i="23"/>
  <c r="F13" i="23" s="1"/>
  <c r="H13" i="23" s="1"/>
  <c r="E12" i="23"/>
  <c r="F12" i="23" s="1"/>
  <c r="H12" i="23" s="1"/>
  <c r="J11" i="23"/>
  <c r="E11" i="23"/>
  <c r="F11" i="23" s="1"/>
  <c r="H11" i="23" s="1"/>
  <c r="J10" i="23"/>
  <c r="E10" i="23"/>
  <c r="F10" i="23" s="1"/>
  <c r="H10" i="23" s="1"/>
  <c r="J9" i="23"/>
  <c r="F9" i="23"/>
  <c r="H9" i="23" s="1"/>
  <c r="E9" i="23"/>
  <c r="J8" i="23"/>
  <c r="E8" i="23"/>
  <c r="F8" i="23" s="1"/>
  <c r="H8" i="23" s="1"/>
  <c r="I24" i="24" l="1"/>
  <c r="H24" i="24"/>
  <c r="I14" i="23"/>
  <c r="K14" i="23" s="1"/>
  <c r="L14" i="23" s="1"/>
  <c r="I10" i="23"/>
  <c r="K10" i="23" s="1"/>
  <c r="L10" i="23" s="1"/>
  <c r="I21" i="23"/>
  <c r="K21" i="23"/>
  <c r="L21" i="23" s="1"/>
  <c r="I18" i="23"/>
  <c r="K18" i="23"/>
  <c r="L18" i="23" s="1"/>
  <c r="I15" i="23"/>
  <c r="K15" i="23" s="1"/>
  <c r="L15" i="23" s="1"/>
  <c r="I11" i="23"/>
  <c r="K11" i="23" s="1"/>
  <c r="L11" i="23" s="1"/>
  <c r="I19" i="23"/>
  <c r="K19" i="23" s="1"/>
  <c r="L19" i="23" s="1"/>
  <c r="I8" i="23"/>
  <c r="K8" i="23"/>
  <c r="L8" i="23" s="1"/>
  <c r="I16" i="23"/>
  <c r="K16" i="23" s="1"/>
  <c r="L16" i="23" s="1"/>
  <c r="I12" i="23"/>
  <c r="J12" i="23"/>
  <c r="K12" i="23" s="1"/>
  <c r="L12" i="23" s="1"/>
  <c r="I20" i="23"/>
  <c r="K20" i="23"/>
  <c r="L20" i="23" s="1"/>
  <c r="I9" i="23"/>
  <c r="K9" i="23" s="1"/>
  <c r="L9" i="23" s="1"/>
  <c r="J13" i="23"/>
  <c r="K13" i="23" s="1"/>
  <c r="L13" i="23" s="1"/>
  <c r="I13" i="23"/>
  <c r="I17" i="23"/>
  <c r="K17" i="23" s="1"/>
  <c r="L17" i="23" s="1"/>
  <c r="P8" i="3"/>
  <c r="P9" i="3"/>
  <c r="P10" i="3"/>
  <c r="P11" i="3"/>
  <c r="P12" i="3"/>
  <c r="P13" i="3"/>
  <c r="P14" i="3"/>
  <c r="P15" i="3"/>
  <c r="P16" i="3"/>
  <c r="P17" i="3"/>
  <c r="P18" i="3"/>
  <c r="P7" i="3"/>
  <c r="J73" i="1" l="1"/>
  <c r="A62" i="1" l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62" i="1"/>
  <c r="E62" i="1" s="1"/>
  <c r="A63" i="1" l="1"/>
  <c r="A66" i="1"/>
  <c r="E72" i="1"/>
  <c r="H33" i="1"/>
  <c r="E74" i="1" l="1"/>
  <c r="K73" i="1" s="1"/>
  <c r="I73" i="1"/>
  <c r="A64" i="1"/>
  <c r="A65" i="1" s="1"/>
  <c r="A67" i="1"/>
  <c r="E14" i="10"/>
  <c r="A68" i="1" l="1"/>
  <c r="A69" i="1" l="1"/>
  <c r="B24" i="17"/>
  <c r="B23" i="17"/>
  <c r="B22" i="17"/>
  <c r="B21" i="17"/>
  <c r="F14" i="15"/>
  <c r="B21" i="15" s="1"/>
  <c r="D14" i="15"/>
  <c r="E14" i="15" s="1"/>
  <c r="G14" i="15" s="1"/>
  <c r="I6" i="13"/>
  <c r="I7" i="13"/>
  <c r="I8" i="13"/>
  <c r="I9" i="13"/>
  <c r="I10" i="13"/>
  <c r="I11" i="13"/>
  <c r="I12" i="13"/>
  <c r="I13" i="13"/>
  <c r="I14" i="13"/>
  <c r="I15" i="13"/>
  <c r="I16" i="13"/>
  <c r="H4" i="12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3" i="12"/>
  <c r="B20" i="12"/>
  <c r="N54" i="11"/>
  <c r="N53" i="11"/>
  <c r="N52" i="11"/>
  <c r="A70" i="1" l="1"/>
  <c r="A71" i="1"/>
  <c r="L15" i="3"/>
  <c r="O15" i="3" s="1"/>
  <c r="L18" i="3"/>
  <c r="L10" i="3"/>
  <c r="O10" i="3" s="1"/>
  <c r="L13" i="3"/>
  <c r="O13" i="3" s="1"/>
  <c r="L17" i="3"/>
  <c r="O17" i="3" s="1"/>
  <c r="L14" i="3"/>
  <c r="O14" i="3" s="1"/>
  <c r="L9" i="3"/>
  <c r="O9" i="3" s="1"/>
  <c r="L8" i="3"/>
  <c r="O8" i="3" s="1"/>
  <c r="O7" i="3"/>
  <c r="L12" i="3"/>
  <c r="O12" i="3" s="1"/>
  <c r="L16" i="3"/>
  <c r="O16" i="3" s="1"/>
  <c r="L11" i="3"/>
  <c r="O11" i="3" s="1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16" i="4"/>
  <c r="E4" i="4"/>
  <c r="E5" i="4"/>
  <c r="E6" i="4"/>
  <c r="E7" i="4"/>
  <c r="E8" i="4"/>
  <c r="E9" i="4"/>
  <c r="E10" i="4"/>
  <c r="E11" i="4"/>
  <c r="E3" i="4"/>
  <c r="K15" i="3"/>
  <c r="N15" i="3" s="1"/>
  <c r="K18" i="3"/>
  <c r="K10" i="3"/>
  <c r="N10" i="3" s="1"/>
  <c r="K13" i="3"/>
  <c r="N13" i="3" s="1"/>
  <c r="K17" i="3"/>
  <c r="N17" i="3" s="1"/>
  <c r="K14" i="3"/>
  <c r="N14" i="3" s="1"/>
  <c r="K9" i="3"/>
  <c r="N9" i="3" s="1"/>
  <c r="K8" i="3"/>
  <c r="N8" i="3" s="1"/>
  <c r="K12" i="3"/>
  <c r="N12" i="3" s="1"/>
  <c r="K16" i="3"/>
  <c r="N16" i="3" s="1"/>
  <c r="K11" i="3"/>
  <c r="N11" i="3" s="1"/>
  <c r="F40" i="1"/>
  <c r="L20" i="1"/>
  <c r="F3" i="1"/>
  <c r="F4" i="1"/>
  <c r="F2" i="1"/>
  <c r="O18" i="3" l="1"/>
  <c r="F28" i="3"/>
  <c r="G40" i="1"/>
  <c r="F47" i="1"/>
  <c r="E28" i="3"/>
  <c r="N18" i="3"/>
  <c r="H28" i="3" s="1"/>
  <c r="C24" i="3"/>
  <c r="E47" i="4"/>
  <c r="E3" i="9"/>
  <c r="F3" i="9" s="1"/>
  <c r="G2" i="6"/>
  <c r="F2" i="6"/>
  <c r="E2" i="6"/>
  <c r="M8" i="18"/>
  <c r="K8" i="18"/>
  <c r="F8" i="18"/>
  <c r="G8" i="18" s="1"/>
  <c r="H8" i="18" s="1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K9" i="18"/>
  <c r="K10" i="18"/>
  <c r="K11" i="18"/>
  <c r="K12" i="18"/>
  <c r="K13" i="18"/>
  <c r="K14" i="18"/>
  <c r="K15" i="18"/>
  <c r="K16" i="18"/>
  <c r="K17" i="18"/>
  <c r="F9" i="18"/>
  <c r="G9" i="18" s="1"/>
  <c r="H9" i="18" s="1"/>
  <c r="F10" i="18"/>
  <c r="G10" i="18" s="1"/>
  <c r="H10" i="18" s="1"/>
  <c r="F11" i="18"/>
  <c r="G11" i="18" s="1"/>
  <c r="F12" i="18"/>
  <c r="G12" i="18" s="1"/>
  <c r="F13" i="18"/>
  <c r="G13" i="18" s="1"/>
  <c r="H13" i="18" s="1"/>
  <c r="F14" i="18"/>
  <c r="G14" i="18" s="1"/>
  <c r="H14" i="18" s="1"/>
  <c r="F15" i="18"/>
  <c r="G15" i="18" s="1"/>
  <c r="F16" i="18"/>
  <c r="G16" i="18" s="1"/>
  <c r="F17" i="18"/>
  <c r="G17" i="18" s="1"/>
  <c r="H17" i="18" s="1"/>
  <c r="F18" i="18"/>
  <c r="G18" i="18" s="1"/>
  <c r="H18" i="18" s="1"/>
  <c r="F19" i="18"/>
  <c r="G19" i="18" s="1"/>
  <c r="F20" i="18"/>
  <c r="G20" i="18" s="1"/>
  <c r="F21" i="18"/>
  <c r="G21" i="18" s="1"/>
  <c r="H21" i="18" s="1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4" i="9"/>
  <c r="H3" i="9"/>
  <c r="E4" i="9"/>
  <c r="F4" i="9" s="1"/>
  <c r="E5" i="9"/>
  <c r="F5" i="9" s="1"/>
  <c r="I5" i="9" s="1"/>
  <c r="E6" i="9"/>
  <c r="F6" i="9" s="1"/>
  <c r="I6" i="9" s="1"/>
  <c r="E7" i="9"/>
  <c r="F7" i="9" s="1"/>
  <c r="I7" i="9" s="1"/>
  <c r="E8" i="9"/>
  <c r="F8" i="9" s="1"/>
  <c r="I8" i="9" s="1"/>
  <c r="E9" i="9"/>
  <c r="F9" i="9" s="1"/>
  <c r="I9" i="9" s="1"/>
  <c r="E10" i="9"/>
  <c r="F10" i="9" s="1"/>
  <c r="I10" i="9" s="1"/>
  <c r="E11" i="9"/>
  <c r="F11" i="9" s="1"/>
  <c r="I11" i="9" s="1"/>
  <c r="E12" i="9"/>
  <c r="F12" i="9" s="1"/>
  <c r="I12" i="9" s="1"/>
  <c r="E13" i="9"/>
  <c r="F13" i="9" s="1"/>
  <c r="I13" i="9" s="1"/>
  <c r="E14" i="9"/>
  <c r="F14" i="9" s="1"/>
  <c r="I14" i="9" s="1"/>
  <c r="E15" i="9"/>
  <c r="F15" i="9" s="1"/>
  <c r="I15" i="9" s="1"/>
  <c r="E16" i="9"/>
  <c r="F16" i="9" s="1"/>
  <c r="I16" i="9" s="1"/>
  <c r="E17" i="9"/>
  <c r="F17" i="9" s="1"/>
  <c r="I17" i="9" s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3" i="8"/>
  <c r="N6" i="8"/>
  <c r="D4" i="8"/>
  <c r="E4" i="8" s="1"/>
  <c r="H4" i="8" s="1"/>
  <c r="D5" i="8"/>
  <c r="E5" i="8" s="1"/>
  <c r="H5" i="8" s="1"/>
  <c r="D6" i="8"/>
  <c r="E6" i="8" s="1"/>
  <c r="H6" i="8" s="1"/>
  <c r="D7" i="8"/>
  <c r="E7" i="8" s="1"/>
  <c r="H7" i="8" s="1"/>
  <c r="D8" i="8"/>
  <c r="E8" i="8" s="1"/>
  <c r="H8" i="8" s="1"/>
  <c r="D9" i="8"/>
  <c r="E9" i="8" s="1"/>
  <c r="H9" i="8" s="1"/>
  <c r="D10" i="8"/>
  <c r="E10" i="8" s="1"/>
  <c r="H10" i="8" s="1"/>
  <c r="D11" i="8"/>
  <c r="E11" i="8" s="1"/>
  <c r="H11" i="8" s="1"/>
  <c r="D12" i="8"/>
  <c r="E12" i="8" s="1"/>
  <c r="H12" i="8" s="1"/>
  <c r="D13" i="8"/>
  <c r="E13" i="8" s="1"/>
  <c r="H13" i="8" s="1"/>
  <c r="D14" i="8"/>
  <c r="E14" i="8" s="1"/>
  <c r="H14" i="8" s="1"/>
  <c r="D15" i="8"/>
  <c r="E15" i="8" s="1"/>
  <c r="H15" i="8" s="1"/>
  <c r="D16" i="8"/>
  <c r="E16" i="8" s="1"/>
  <c r="H16" i="8" s="1"/>
  <c r="D17" i="8"/>
  <c r="E17" i="8" s="1"/>
  <c r="H17" i="8" s="1"/>
  <c r="D3" i="8"/>
  <c r="E3" i="8" s="1"/>
  <c r="H3" i="8" s="1"/>
  <c r="K3" i="17"/>
  <c r="K2" i="17"/>
  <c r="K1" i="17"/>
  <c r="F66" i="2"/>
  <c r="F67" i="2"/>
  <c r="F68" i="2"/>
  <c r="F69" i="2"/>
  <c r="F70" i="2"/>
  <c r="F71" i="2"/>
  <c r="F72" i="2"/>
  <c r="F61" i="2"/>
  <c r="F62" i="2"/>
  <c r="F63" i="2"/>
  <c r="F64" i="2"/>
  <c r="F65" i="2"/>
  <c r="F60" i="2"/>
  <c r="F59" i="2"/>
  <c r="F57" i="2"/>
  <c r="F56" i="2"/>
  <c r="H60" i="2"/>
  <c r="K60" i="2" s="1"/>
  <c r="L60" i="2" s="1"/>
  <c r="H61" i="2"/>
  <c r="K61" i="2" s="1"/>
  <c r="L61" i="2" s="1"/>
  <c r="H62" i="2"/>
  <c r="K62" i="2" s="1"/>
  <c r="L62" i="2" s="1"/>
  <c r="H63" i="2"/>
  <c r="K63" i="2" s="1"/>
  <c r="L63" i="2" s="1"/>
  <c r="J61" i="2"/>
  <c r="J62" i="2"/>
  <c r="J63" i="2"/>
  <c r="J60" i="2"/>
  <c r="I61" i="2"/>
  <c r="I62" i="2"/>
  <c r="I63" i="2"/>
  <c r="F50" i="2"/>
  <c r="F51" i="2"/>
  <c r="F52" i="2"/>
  <c r="F53" i="2"/>
  <c r="H40" i="1" l="1"/>
  <c r="H47" i="1" s="1"/>
  <c r="G47" i="1"/>
  <c r="K7" i="3"/>
  <c r="N7" i="3" s="1"/>
  <c r="D24" i="3"/>
  <c r="I4" i="9"/>
  <c r="I3" i="9"/>
  <c r="H20" i="18"/>
  <c r="J20" i="18" s="1"/>
  <c r="H16" i="18"/>
  <c r="J16" i="18" s="1"/>
  <c r="L16" i="18" s="1"/>
  <c r="H12" i="18"/>
  <c r="J12" i="18" s="1"/>
  <c r="L12" i="18" s="1"/>
  <c r="H19" i="18"/>
  <c r="J19" i="18" s="1"/>
  <c r="H15" i="18"/>
  <c r="J15" i="18" s="1"/>
  <c r="L15" i="18" s="1"/>
  <c r="H11" i="18"/>
  <c r="J11" i="18" s="1"/>
  <c r="L11" i="18" s="1"/>
  <c r="J8" i="18"/>
  <c r="L8" i="18" s="1"/>
  <c r="J18" i="18"/>
  <c r="J14" i="18"/>
  <c r="L14" i="18" s="1"/>
  <c r="J10" i="18"/>
  <c r="L10" i="18" s="1"/>
  <c r="J21" i="18"/>
  <c r="J17" i="18"/>
  <c r="L17" i="18" s="1"/>
  <c r="J13" i="18"/>
  <c r="L13" i="18" s="1"/>
  <c r="J9" i="18"/>
  <c r="L9" i="18" s="1"/>
  <c r="F41" i="2"/>
  <c r="F42" i="2"/>
  <c r="F43" i="2"/>
  <c r="F44" i="2"/>
  <c r="F45" i="2"/>
  <c r="F46" i="2"/>
  <c r="F40" i="2"/>
  <c r="F39" i="2"/>
  <c r="F38" i="2"/>
  <c r="F37" i="2"/>
  <c r="G13" i="2"/>
  <c r="G14" i="2"/>
  <c r="H7" i="2"/>
  <c r="I7" i="2"/>
  <c r="J7" i="2"/>
  <c r="K7" i="2"/>
  <c r="G7" i="2"/>
  <c r="H6" i="2"/>
  <c r="I6" i="2"/>
  <c r="J6" i="2"/>
  <c r="K6" i="2"/>
  <c r="G6" i="2"/>
  <c r="H5" i="2"/>
  <c r="I5" i="2"/>
  <c r="J5" i="2"/>
  <c r="K5" i="2"/>
  <c r="G5" i="2"/>
  <c r="D28" i="5"/>
  <c r="D29" i="5"/>
  <c r="D30" i="5"/>
  <c r="D27" i="5"/>
  <c r="C28" i="5"/>
  <c r="C29" i="5"/>
  <c r="C30" i="5"/>
  <c r="C27" i="5"/>
  <c r="B28" i="5"/>
  <c r="B29" i="5"/>
  <c r="B30" i="5"/>
  <c r="B27" i="5"/>
  <c r="G18" i="5"/>
  <c r="F18" i="5"/>
  <c r="AI35" i="11"/>
  <c r="AI36" i="11"/>
  <c r="AI37" i="11"/>
  <c r="AI38" i="11"/>
  <c r="AI39" i="11"/>
  <c r="AI40" i="11"/>
  <c r="AI41" i="11"/>
  <c r="AI42" i="11"/>
  <c r="AI2" i="11"/>
  <c r="AH35" i="11"/>
  <c r="AJ35" i="11" s="1"/>
  <c r="AH36" i="11"/>
  <c r="AJ36" i="11" s="1"/>
  <c r="AH37" i="11"/>
  <c r="AJ37" i="11" s="1"/>
  <c r="AH38" i="11"/>
  <c r="AJ38" i="11" s="1"/>
  <c r="AH39" i="11"/>
  <c r="AJ39" i="11" s="1"/>
  <c r="AH40" i="11"/>
  <c r="AJ40" i="11" s="1"/>
  <c r="AH41" i="11"/>
  <c r="AJ41" i="11" s="1"/>
  <c r="AH42" i="11"/>
  <c r="AJ42" i="11" s="1"/>
  <c r="AH2" i="11"/>
  <c r="AJ2" i="11" s="1"/>
  <c r="AG2" i="11"/>
  <c r="AK2" i="11" s="1"/>
  <c r="AL2" i="11" s="1"/>
  <c r="AG35" i="11"/>
  <c r="AK35" i="11" s="1"/>
  <c r="AL35" i="11" s="1"/>
  <c r="AG36" i="11"/>
  <c r="AK36" i="11" s="1"/>
  <c r="AL36" i="11" s="1"/>
  <c r="AG37" i="11"/>
  <c r="AK37" i="11" s="1"/>
  <c r="AL37" i="11" s="1"/>
  <c r="AG38" i="11"/>
  <c r="AK38" i="11" s="1"/>
  <c r="AL38" i="11" s="1"/>
  <c r="AG39" i="11"/>
  <c r="AK39" i="11" s="1"/>
  <c r="AL39" i="11" s="1"/>
  <c r="AG40" i="11"/>
  <c r="AK40" i="11" s="1"/>
  <c r="AL40" i="11" s="1"/>
  <c r="AG41" i="11"/>
  <c r="AK41" i="11" s="1"/>
  <c r="AL41" i="11" s="1"/>
  <c r="AG42" i="11"/>
  <c r="AK42" i="11" s="1"/>
  <c r="AL42" i="11" s="1"/>
  <c r="F19" i="5" l="1"/>
  <c r="E24" i="3"/>
  <c r="K19" i="18"/>
  <c r="L19" i="18" s="1"/>
  <c r="K21" i="18"/>
  <c r="L21" i="18" s="1"/>
  <c r="K18" i="18"/>
  <c r="L18" i="18" s="1"/>
  <c r="K20" i="18"/>
  <c r="L20" i="18" s="1"/>
  <c r="G3" i="7"/>
  <c r="G4" i="7"/>
  <c r="G5" i="7"/>
  <c r="G6" i="7"/>
  <c r="G7" i="7"/>
  <c r="G8" i="7"/>
  <c r="G2" i="7"/>
  <c r="F3" i="7"/>
  <c r="F4" i="7"/>
  <c r="F5" i="7"/>
  <c r="F6" i="7"/>
  <c r="F7" i="7"/>
  <c r="F8" i="7"/>
  <c r="F2" i="7"/>
  <c r="H2" i="7" s="1"/>
  <c r="E2" i="7"/>
  <c r="E3" i="7"/>
  <c r="E4" i="7"/>
  <c r="E5" i="7"/>
  <c r="H5" i="7" s="1"/>
  <c r="E6" i="7"/>
  <c r="E7" i="7"/>
  <c r="H7" i="7" s="1"/>
  <c r="E8" i="7"/>
  <c r="H14" i="7"/>
  <c r="H13" i="7"/>
  <c r="H12" i="7"/>
  <c r="H11" i="7"/>
  <c r="H10" i="7"/>
  <c r="H9" i="7"/>
  <c r="H4" i="7"/>
  <c r="H2" i="6"/>
  <c r="M3" i="4"/>
  <c r="M16" i="4"/>
  <c r="M17" i="4"/>
  <c r="M18" i="4"/>
  <c r="M19" i="4"/>
  <c r="M20" i="4"/>
  <c r="M21" i="4"/>
  <c r="M22" i="4"/>
  <c r="M23" i="4"/>
  <c r="M15" i="4"/>
  <c r="M4" i="4"/>
  <c r="M5" i="4"/>
  <c r="M6" i="4"/>
  <c r="M7" i="4"/>
  <c r="M8" i="4"/>
  <c r="M9" i="4"/>
  <c r="M10" i="4"/>
  <c r="J23" i="4"/>
  <c r="J22" i="4"/>
  <c r="J21" i="4"/>
  <c r="J20" i="4"/>
  <c r="J19" i="4"/>
  <c r="J18" i="4"/>
  <c r="J17" i="4"/>
  <c r="J16" i="4"/>
  <c r="J15" i="4"/>
  <c r="J11" i="4"/>
  <c r="J10" i="4"/>
  <c r="J9" i="4"/>
  <c r="J8" i="4"/>
  <c r="J7" i="4"/>
  <c r="J6" i="4"/>
  <c r="J5" i="4"/>
  <c r="J4" i="4"/>
  <c r="J3" i="4"/>
  <c r="V12" i="3"/>
  <c r="V8" i="3"/>
  <c r="H8" i="7" l="1"/>
  <c r="H3" i="7"/>
  <c r="M11" i="4"/>
  <c r="H6" i="7"/>
  <c r="I6" i="7" s="1"/>
  <c r="J6" i="7" s="1"/>
  <c r="I2" i="7"/>
  <c r="J2" i="7" s="1"/>
  <c r="I3" i="7"/>
  <c r="J3" i="7" s="1"/>
  <c r="I4" i="7"/>
  <c r="J4" i="7" s="1"/>
  <c r="I5" i="7"/>
  <c r="J5" i="7" s="1"/>
  <c r="I7" i="7"/>
  <c r="J7" i="7" s="1"/>
  <c r="I8" i="7"/>
  <c r="J8" i="7" s="1"/>
  <c r="I9" i="7"/>
  <c r="J9" i="7" s="1"/>
  <c r="I10" i="7"/>
  <c r="J10" i="7" s="1"/>
  <c r="I11" i="7"/>
  <c r="J11" i="7" s="1"/>
  <c r="I12" i="7"/>
  <c r="J12" i="7" s="1"/>
  <c r="I13" i="7"/>
  <c r="J13" i="7" s="1"/>
  <c r="I14" i="7"/>
  <c r="J14" i="7" s="1"/>
  <c r="I2" i="6"/>
  <c r="J2" i="6" s="1"/>
  <c r="G24" i="3" l="1"/>
  <c r="F24" i="3"/>
  <c r="H24" i="3"/>
  <c r="E59" i="1"/>
  <c r="G73" i="1"/>
  <c r="E60" i="1"/>
  <c r="B59" i="1"/>
  <c r="H73" i="1"/>
</calcChain>
</file>

<file path=xl/sharedStrings.xml><?xml version="1.0" encoding="utf-8"?>
<sst xmlns="http://schemas.openxmlformats.org/spreadsheetml/2006/main" count="2815" uniqueCount="567">
  <si>
    <t>Name</t>
  </si>
  <si>
    <t>Urdu</t>
  </si>
  <si>
    <t>English</t>
  </si>
  <si>
    <t>Maths</t>
  </si>
  <si>
    <t>Physics</t>
  </si>
  <si>
    <t>Islamiat</t>
  </si>
  <si>
    <t>Obtained Marks</t>
  </si>
  <si>
    <t>%Age</t>
  </si>
  <si>
    <t>Grade</t>
  </si>
  <si>
    <t>Status</t>
  </si>
  <si>
    <t>Position</t>
  </si>
  <si>
    <t>Mohsin</t>
  </si>
  <si>
    <t>Hamid</t>
  </si>
  <si>
    <t>Asad</t>
  </si>
  <si>
    <t>Noman</t>
  </si>
  <si>
    <t>Ikram</t>
  </si>
  <si>
    <t>Bilal</t>
  </si>
  <si>
    <t>Noor Ali</t>
  </si>
  <si>
    <t>Sadaf</t>
  </si>
  <si>
    <t>Sidra</t>
  </si>
  <si>
    <t>Aslam</t>
  </si>
  <si>
    <t>Waseem</t>
  </si>
  <si>
    <t>Kamal</t>
  </si>
  <si>
    <t>General Formula</t>
  </si>
  <si>
    <t>Result</t>
  </si>
  <si>
    <t>Range Formula</t>
  </si>
  <si>
    <t>Number to Number</t>
  </si>
  <si>
    <t>Number to Alphabet</t>
  </si>
  <si>
    <t>Bond No.</t>
  </si>
  <si>
    <t>Prize</t>
  </si>
  <si>
    <t>Alphabet to Number</t>
  </si>
  <si>
    <t>Alphabet to Alphabet</t>
  </si>
  <si>
    <t>Nmber to Alphabet</t>
  </si>
  <si>
    <t>Item</t>
  </si>
  <si>
    <t>Price</t>
  </si>
  <si>
    <t>Coca Cola</t>
  </si>
  <si>
    <t>Chicken</t>
  </si>
  <si>
    <t>Total</t>
  </si>
  <si>
    <t>Letter</t>
  </si>
  <si>
    <t>Sound</t>
  </si>
  <si>
    <t>A</t>
  </si>
  <si>
    <t>B</t>
  </si>
  <si>
    <t>C</t>
  </si>
  <si>
    <t>D</t>
  </si>
  <si>
    <t>E</t>
  </si>
  <si>
    <t>Date</t>
  </si>
  <si>
    <t>Income</t>
  </si>
  <si>
    <t>Expense</t>
  </si>
  <si>
    <t>TCC PVT. LTD</t>
  </si>
  <si>
    <t>Profit</t>
  </si>
  <si>
    <t>ID</t>
  </si>
  <si>
    <t>Rank</t>
  </si>
  <si>
    <t>Basic
Salary</t>
  </si>
  <si>
    <t>Rent
Allowance</t>
  </si>
  <si>
    <t>Medical
Allowance</t>
  </si>
  <si>
    <t>Convanyance</t>
  </si>
  <si>
    <t>Total
Salary</t>
  </si>
  <si>
    <t>Income
Tax</t>
  </si>
  <si>
    <t>Gross
Salary</t>
  </si>
  <si>
    <t>Jamil</t>
  </si>
  <si>
    <t>Ahsan</t>
  </si>
  <si>
    <t>Shahid</t>
  </si>
  <si>
    <t>Salam</t>
  </si>
  <si>
    <t>Noor</t>
  </si>
  <si>
    <t>Shabeer</t>
  </si>
  <si>
    <t>Arshad</t>
  </si>
  <si>
    <t>Jamal</t>
  </si>
  <si>
    <t>Waqar</t>
  </si>
  <si>
    <t>Mehtab</t>
  </si>
  <si>
    <t>Manager</t>
  </si>
  <si>
    <t>Ass. Manager</t>
  </si>
  <si>
    <t>Officeboy</t>
  </si>
  <si>
    <t>Cashier</t>
  </si>
  <si>
    <t>MD</t>
  </si>
  <si>
    <t>Accountant</t>
  </si>
  <si>
    <t>Security Guard</t>
  </si>
  <si>
    <t>ID No.</t>
  </si>
  <si>
    <t>Work Days</t>
  </si>
  <si>
    <t>Work Hours</t>
  </si>
  <si>
    <t>Amount</t>
  </si>
  <si>
    <t>Over Time Hours</t>
  </si>
  <si>
    <t>Total Salary</t>
  </si>
  <si>
    <t>Al-Abid Silk Mill PVT. Ltd. Karachi</t>
  </si>
  <si>
    <t>Safeer</t>
  </si>
  <si>
    <t>Anwer</t>
  </si>
  <si>
    <t>Quarter 1</t>
  </si>
  <si>
    <t>Quarter 2</t>
  </si>
  <si>
    <t>Quarter 3</t>
  </si>
  <si>
    <t>Quarter 4</t>
  </si>
  <si>
    <t>Maximum</t>
  </si>
  <si>
    <t>Minimum</t>
  </si>
  <si>
    <t>Average</t>
  </si>
  <si>
    <t>Present</t>
  </si>
  <si>
    <t>Absent</t>
  </si>
  <si>
    <t>Leave</t>
  </si>
  <si>
    <t>Remarks</t>
  </si>
  <si>
    <t>Asim</t>
  </si>
  <si>
    <t>Qasim</t>
  </si>
  <si>
    <t>Wahab</t>
  </si>
  <si>
    <t>p</t>
  </si>
  <si>
    <t>a</t>
  </si>
  <si>
    <t>count</t>
  </si>
  <si>
    <t>counta</t>
  </si>
  <si>
    <t>countblank</t>
  </si>
  <si>
    <t>countif</t>
  </si>
  <si>
    <t>s</t>
  </si>
  <si>
    <t>d</t>
  </si>
  <si>
    <t>f</t>
  </si>
  <si>
    <t>Register has been done.</t>
  </si>
  <si>
    <t>counts number only</t>
  </si>
  <si>
    <t>Count numeric and string both</t>
  </si>
  <si>
    <t>count blank cells in a range</t>
  </si>
  <si>
    <t>TCC PVT. LTD.</t>
  </si>
  <si>
    <t>Proper</t>
  </si>
  <si>
    <t>Lower</t>
  </si>
  <si>
    <t>Length</t>
  </si>
  <si>
    <t>IMRAN KHAN</t>
  </si>
  <si>
    <t>GUL KHAN</t>
  </si>
  <si>
    <t>JAMAL KHAN</t>
  </si>
  <si>
    <t>KAMAL KHAN AFRIDI</t>
  </si>
  <si>
    <t>SUMMIT BANK</t>
  </si>
  <si>
    <t>Deposited Amount</t>
  </si>
  <si>
    <t>Withdrawn Amount</t>
  </si>
  <si>
    <t>Balance</t>
  </si>
  <si>
    <t>Scale</t>
  </si>
  <si>
    <t>Salary</t>
  </si>
  <si>
    <t>Designation</t>
  </si>
  <si>
    <t>IF &amp; AND</t>
  </si>
  <si>
    <t>Cash Officer</t>
  </si>
  <si>
    <t>Security</t>
  </si>
  <si>
    <t>Guard</t>
  </si>
  <si>
    <t>IF &amp; OR</t>
  </si>
  <si>
    <t>Addition</t>
  </si>
  <si>
    <t>Subtraction</t>
  </si>
  <si>
    <t>Multiplication</t>
  </si>
  <si>
    <t>Division</t>
  </si>
  <si>
    <t>Percentage</t>
  </si>
  <si>
    <t>If</t>
  </si>
  <si>
    <t>If Or</t>
  </si>
  <si>
    <t>If and</t>
  </si>
  <si>
    <t>Sum (Array)</t>
  </si>
  <si>
    <t>Count</t>
  </si>
  <si>
    <t>Counta</t>
  </si>
  <si>
    <t>Done</t>
  </si>
  <si>
    <t>Formulas</t>
  </si>
  <si>
    <t>Sin</t>
  </si>
  <si>
    <t>Cos</t>
  </si>
  <si>
    <t>Tan</t>
  </si>
  <si>
    <t>Len</t>
  </si>
  <si>
    <t>Large</t>
  </si>
  <si>
    <t>Power</t>
  </si>
  <si>
    <t>now</t>
  </si>
  <si>
    <t>Sqrt</t>
  </si>
  <si>
    <t>concatenate</t>
  </si>
  <si>
    <t>vlookup</t>
  </si>
  <si>
    <t>hlookup</t>
  </si>
  <si>
    <t>lookup</t>
  </si>
  <si>
    <t>proper</t>
  </si>
  <si>
    <t>lower</t>
  </si>
  <si>
    <t>small</t>
  </si>
  <si>
    <t>rank</t>
  </si>
  <si>
    <t>median</t>
  </si>
  <si>
    <t>deviation</t>
  </si>
  <si>
    <t>text</t>
  </si>
  <si>
    <t>Sumif</t>
  </si>
  <si>
    <t>Fact</t>
  </si>
  <si>
    <t>Fucntion</t>
  </si>
  <si>
    <t>sin</t>
  </si>
  <si>
    <t>cos</t>
  </si>
  <si>
    <t>tan</t>
  </si>
  <si>
    <t>Sin Cos Tan</t>
  </si>
  <si>
    <t>Syed Hamid Shah</t>
  </si>
  <si>
    <t>Syed Shabbir Hussain Shah</t>
  </si>
  <si>
    <t>Small</t>
  </si>
  <si>
    <t>Sqrt for Square Root</t>
  </si>
  <si>
    <t>Text</t>
  </si>
  <si>
    <t>Upper</t>
  </si>
  <si>
    <t>Trim</t>
  </si>
  <si>
    <t xml:space="preserve">Mohsin   shah   </t>
  </si>
  <si>
    <t xml:space="preserve">        hamid shah  </t>
  </si>
  <si>
    <t xml:space="preserve">Ahmed khan  </t>
  </si>
  <si>
    <t>Muhammad     shah</t>
  </si>
  <si>
    <t>Hamid Shah</t>
  </si>
  <si>
    <t>I am a teacher.</t>
  </si>
  <si>
    <t>i live in pakistan.</t>
  </si>
  <si>
    <t>Title Case /Proper Case</t>
  </si>
  <si>
    <t>Sentence Case</t>
  </si>
  <si>
    <t>I LIVE IN BALDIA.</t>
  </si>
  <si>
    <t>myName_pakNo1</t>
  </si>
  <si>
    <t>Camel Case</t>
  </si>
  <si>
    <t>Factorial</t>
  </si>
  <si>
    <t>Doctor</t>
  </si>
  <si>
    <t>Fee</t>
  </si>
  <si>
    <t>Model</t>
  </si>
  <si>
    <t>Honda</t>
  </si>
  <si>
    <t>KFC-North Nazimabad</t>
  </si>
  <si>
    <t>Food</t>
  </si>
  <si>
    <t>Tea</t>
  </si>
  <si>
    <t>Burger</t>
  </si>
  <si>
    <t>Barbeque</t>
  </si>
  <si>
    <t>Biryani</t>
  </si>
  <si>
    <t>Kids Rhymes</t>
  </si>
  <si>
    <t>F</t>
  </si>
  <si>
    <t>Mehak</t>
  </si>
  <si>
    <t>Iqra</t>
  </si>
  <si>
    <t>Nabeela</t>
  </si>
  <si>
    <t>Shumaila</t>
  </si>
  <si>
    <t>Shamaila</t>
  </si>
  <si>
    <t>Product</t>
  </si>
  <si>
    <t>Mouse</t>
  </si>
  <si>
    <t>keyboard</t>
  </si>
  <si>
    <t>Monitor</t>
  </si>
  <si>
    <t>Keyboard</t>
  </si>
  <si>
    <t>Osama</t>
  </si>
  <si>
    <t>Summer</t>
  </si>
  <si>
    <t>Nisar</t>
  </si>
  <si>
    <t>q</t>
  </si>
  <si>
    <t>g</t>
  </si>
  <si>
    <t>h</t>
  </si>
  <si>
    <t>j</t>
  </si>
  <si>
    <t>Marks</t>
  </si>
  <si>
    <t>Age%</t>
  </si>
  <si>
    <t>Due Date</t>
  </si>
  <si>
    <t>Meter No</t>
  </si>
  <si>
    <t>Month</t>
  </si>
  <si>
    <t>Pay Date</t>
  </si>
  <si>
    <t>Charges</t>
  </si>
  <si>
    <t>Tax</t>
  </si>
  <si>
    <t>Surcharge</t>
  </si>
  <si>
    <t>Net Bill</t>
  </si>
  <si>
    <t>Current Units</t>
  </si>
  <si>
    <t>Previous Units</t>
  </si>
  <si>
    <t>Total Units</t>
  </si>
  <si>
    <t>August</t>
  </si>
  <si>
    <t>TV</t>
  </si>
  <si>
    <t>Mobile</t>
  </si>
  <si>
    <t>Name of Agent</t>
  </si>
  <si>
    <t>Rate</t>
  </si>
  <si>
    <t>Particular</t>
  </si>
  <si>
    <t>Reciveable</t>
  </si>
  <si>
    <t>Sadia</t>
  </si>
  <si>
    <t>Agent</t>
  </si>
  <si>
    <t>Commission</t>
  </si>
  <si>
    <t>"A"</t>
  </si>
  <si>
    <t>&gt;=</t>
  </si>
  <si>
    <t>Orangi</t>
  </si>
  <si>
    <t>Baldia</t>
  </si>
  <si>
    <t>Landhi</t>
  </si>
  <si>
    <t>Regions</t>
  </si>
  <si>
    <t>LUX Ptivate Limited</t>
  </si>
  <si>
    <t>Word Population</t>
  </si>
  <si>
    <t>China</t>
  </si>
  <si>
    <t>India</t>
  </si>
  <si>
    <t>USA</t>
  </si>
  <si>
    <t>Indonesia</t>
  </si>
  <si>
    <t>Pakistan</t>
  </si>
  <si>
    <t>Brazil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</si>
  <si>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</si>
  <si>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</si>
  <si>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</si>
  <si>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</si>
  <si>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</si>
  <si>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</si>
  <si>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</si>
  <si>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</si>
  <si>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</si>
  <si>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</si>
  <si>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</si>
  <si>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</si>
  <si>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</si>
  <si>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</si>
  <si>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</si>
  <si>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CD135</t>
  </si>
  <si>
    <t>CD136</t>
  </si>
  <si>
    <t>SN</t>
  </si>
  <si>
    <t>Quantity</t>
  </si>
  <si>
    <t>LCD</t>
  </si>
  <si>
    <t>PC</t>
  </si>
  <si>
    <t>USB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</si>
  <si>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</si>
  <si>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</si>
  <si>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</si>
  <si>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</si>
  <si>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</si>
  <si>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</si>
  <si>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</si>
  <si>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</si>
  <si>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</si>
  <si>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</si>
  <si>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</si>
  <si>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</si>
  <si>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</si>
  <si>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</si>
  <si>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</si>
  <si>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</si>
  <si>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</si>
  <si>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</si>
  <si>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</si>
  <si>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</si>
  <si>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</si>
  <si>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</si>
  <si>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</si>
  <si>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</si>
  <si>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</si>
  <si>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</si>
  <si>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</si>
  <si>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</si>
  <si>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</si>
  <si>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</si>
  <si>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</si>
  <si>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</si>
  <si>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</si>
  <si>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</si>
  <si>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</si>
  <si>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</si>
  <si>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;</t>
  </si>
  <si>
    <t>Salesman</t>
  </si>
  <si>
    <t>Javed</t>
  </si>
  <si>
    <t>Naveed</t>
  </si>
  <si>
    <t>Ahmed</t>
  </si>
  <si>
    <t>Sales</t>
  </si>
  <si>
    <t>SUM</t>
  </si>
  <si>
    <t>Budget</t>
  </si>
  <si>
    <t>Publicity</t>
  </si>
  <si>
    <t>Gifts</t>
  </si>
  <si>
    <t>Transportation</t>
  </si>
  <si>
    <t>Products</t>
  </si>
  <si>
    <t>Discount</t>
  </si>
  <si>
    <t>Laptop</t>
  </si>
  <si>
    <t>Printer</t>
  </si>
  <si>
    <t>Paybale</t>
  </si>
  <si>
    <t>ABC Computers</t>
  </si>
  <si>
    <t>THE MASTERS PUBLIC SCHOOL</t>
  </si>
  <si>
    <t>Kchi to USA</t>
  </si>
  <si>
    <t>Kchi to UK</t>
  </si>
  <si>
    <t>Kchi To UAE</t>
  </si>
  <si>
    <t>Tickets</t>
  </si>
  <si>
    <t>D.C.</t>
  </si>
  <si>
    <t>Commission
@ 7%</t>
  </si>
  <si>
    <t>Direct
Commission</t>
  </si>
  <si>
    <t>If Logical</t>
  </si>
  <si>
    <t>Bank Salary sheet</t>
  </si>
  <si>
    <t>Godwon</t>
  </si>
  <si>
    <t>Grand Total</t>
  </si>
  <si>
    <t>Table No</t>
  </si>
  <si>
    <t>Time</t>
  </si>
  <si>
    <t>Invoice No</t>
  </si>
  <si>
    <t>Zinger Burger</t>
  </si>
  <si>
    <t>Mayon Burger</t>
  </si>
  <si>
    <t>Cheese Burger</t>
  </si>
  <si>
    <t>Regular Burger</t>
  </si>
  <si>
    <t>Chicken Tikka (Chest)</t>
  </si>
  <si>
    <t>Chicken Tikka (Leg)</t>
  </si>
  <si>
    <t>Boti</t>
  </si>
  <si>
    <t>Malai Boti</t>
  </si>
  <si>
    <t>Chicken Roll</t>
  </si>
  <si>
    <t>Chicken Kabab</t>
  </si>
  <si>
    <t>Roll</t>
  </si>
  <si>
    <t>Paratha</t>
  </si>
  <si>
    <t>Sandwich</t>
  </si>
  <si>
    <t>Cold Drink Regular</t>
  </si>
  <si>
    <t>Cold Drink Litter</t>
  </si>
  <si>
    <t>Cold Drink 1.5 Litter</t>
  </si>
  <si>
    <t>Cold Drink Jumbo</t>
  </si>
  <si>
    <t>Water Small Bottle</t>
  </si>
  <si>
    <t>Water Large Bottle</t>
  </si>
  <si>
    <t>Ref:</t>
  </si>
  <si>
    <t>https://www.youtube.com/watch?v=rgbv9oFaDk0</t>
  </si>
  <si>
    <t>IF(B62&lt;&gt;0,1,"")</t>
  </si>
  <si>
    <t>IF(B63&lt;&gt;0,A62+1,"")</t>
  </si>
  <si>
    <t>For S.#</t>
  </si>
  <si>
    <t>S.#</t>
  </si>
  <si>
    <t>Quetta</t>
  </si>
  <si>
    <t>INVOICE</t>
  </si>
  <si>
    <t>Near Food Point Jinnah Town</t>
  </si>
  <si>
    <t>ALI FOOD CENTER</t>
  </si>
  <si>
    <t>Total Amount</t>
  </si>
  <si>
    <t>Invoice No.</t>
  </si>
  <si>
    <t>https://www.youtube.com/watch?v=mWKxrn457ek</t>
  </si>
  <si>
    <t>Check</t>
  </si>
  <si>
    <t>Ali</t>
  </si>
  <si>
    <t>Israr</t>
  </si>
  <si>
    <t>Hamza</t>
  </si>
  <si>
    <t>Musa</t>
  </si>
  <si>
    <t>Javad</t>
  </si>
  <si>
    <t>Asghar</t>
  </si>
  <si>
    <t>Kareem</t>
  </si>
  <si>
    <t xml:space="preserve">Hasham </t>
  </si>
  <si>
    <t>Saad</t>
  </si>
  <si>
    <t>if(countif(A50:A65,A50:A65,"✖️","✔️"))</t>
  </si>
  <si>
    <t>P</t>
  </si>
  <si>
    <t>L</t>
  </si>
  <si>
    <t>after that select wingdings font</t>
  </si>
  <si>
    <t>https://www.youtube.com/watch?v=U78_CyZlTc0</t>
  </si>
  <si>
    <t>455-1</t>
  </si>
  <si>
    <t>455-2</t>
  </si>
  <si>
    <t>455-3</t>
  </si>
  <si>
    <t>455-4</t>
  </si>
  <si>
    <t>455-5</t>
  </si>
  <si>
    <t>Duplicate</t>
  </si>
  <si>
    <t>K-ELECTRIC BILL</t>
  </si>
  <si>
    <t>Last Date</t>
  </si>
  <si>
    <t>Previous
Units</t>
  </si>
  <si>
    <t>Current
Units</t>
  </si>
  <si>
    <t>Units
Consumed</t>
  </si>
  <si>
    <t>Units
Charges</t>
  </si>
  <si>
    <t>Meter
Rent</t>
  </si>
  <si>
    <t>Payable</t>
  </si>
  <si>
    <t>Absolute</t>
  </si>
  <si>
    <t>Last Data</t>
  </si>
  <si>
    <t>Local
Calls</t>
  </si>
  <si>
    <t>Local
Calls
Charges</t>
  </si>
  <si>
    <t>Mobile
Calls</t>
  </si>
  <si>
    <t>Mobile
Calls
Charges</t>
  </si>
  <si>
    <t>Total
Call
Charges</t>
  </si>
  <si>
    <t>CLI</t>
  </si>
  <si>
    <t>Sales Sheet With IF (SP and CP)</t>
  </si>
  <si>
    <t>Wholesale Rate</t>
  </si>
  <si>
    <t>Total Wholesale</t>
  </si>
  <si>
    <t>Retail Rate</t>
  </si>
  <si>
    <t>Total Retail</t>
  </si>
  <si>
    <t>Loss</t>
  </si>
  <si>
    <t>W.sale Rate</t>
  </si>
  <si>
    <t>Retail rate</t>
  </si>
  <si>
    <t>Nokia</t>
  </si>
  <si>
    <t>Samsung</t>
  </si>
  <si>
    <t>LG</t>
  </si>
  <si>
    <t>Iphone</t>
  </si>
  <si>
    <t>Elegibility for Exam</t>
  </si>
  <si>
    <t>Start Date</t>
  </si>
  <si>
    <t>Date 1</t>
  </si>
  <si>
    <t>Date 2</t>
  </si>
  <si>
    <t>Formula</t>
  </si>
  <si>
    <t>Al-Abid Mills
Bonus &amp; Promotion Sheet</t>
  </si>
  <si>
    <t>Attendance
in Percent</t>
  </si>
  <si>
    <t>Bonus</t>
  </si>
  <si>
    <t>Bonus Status</t>
  </si>
  <si>
    <t>Promotion</t>
  </si>
  <si>
    <t xml:space="preserve"> </t>
  </si>
  <si>
    <t>90 &gt;=</t>
  </si>
  <si>
    <t>equal to salary</t>
  </si>
  <si>
    <t>80&gt;=</t>
  </si>
  <si>
    <t>half of salary</t>
  </si>
  <si>
    <t>salary/2</t>
  </si>
  <si>
    <t>70=&gt;</t>
  </si>
  <si>
    <t>4th of salary</t>
  </si>
  <si>
    <t>salary/4</t>
  </si>
  <si>
    <t>Demotion</t>
  </si>
  <si>
    <t>Incoming
Goods</t>
  </si>
  <si>
    <t>LCD 17</t>
  </si>
  <si>
    <t>LCD 18</t>
  </si>
  <si>
    <t>LCD 19</t>
  </si>
  <si>
    <t>LCD 20</t>
  </si>
  <si>
    <t>LCD 21</t>
  </si>
  <si>
    <t>LCD 22</t>
  </si>
  <si>
    <t>Stock</t>
  </si>
  <si>
    <t>Outgoing
Goods</t>
  </si>
  <si>
    <t>ABC HOSPITAL</t>
  </si>
  <si>
    <t>Name of
Patient</t>
  </si>
  <si>
    <t>Date of
Admission</t>
  </si>
  <si>
    <t>Date of
Discharge</t>
  </si>
  <si>
    <t>Days in
Hospital</t>
  </si>
  <si>
    <t>Ward</t>
  </si>
  <si>
    <t>Dr Name</t>
  </si>
  <si>
    <t>VIP</t>
  </si>
  <si>
    <t>General</t>
  </si>
  <si>
    <t>Dr Ahmed</t>
  </si>
  <si>
    <t>Dr Jamil</t>
  </si>
  <si>
    <t>General/Day</t>
  </si>
  <si>
    <t>Sundary</t>
  </si>
  <si>
    <t>Bibi Sabiha</t>
  </si>
  <si>
    <t>Hikmatullah</t>
  </si>
  <si>
    <t>Muhammad Azan</t>
  </si>
  <si>
    <t>Muhammad Awais</t>
  </si>
  <si>
    <t>Muhammad Zahir</t>
  </si>
  <si>
    <t>Muhammad Zahid</t>
  </si>
  <si>
    <t>Muhammad Hammad</t>
  </si>
  <si>
    <t>Syed Sufiyan</t>
  </si>
  <si>
    <t>SOHAIL AHMED</t>
  </si>
  <si>
    <t>sno</t>
  </si>
  <si>
    <t>upper</t>
  </si>
  <si>
    <t>rand</t>
  </si>
  <si>
    <t>Bond No</t>
  </si>
  <si>
    <t>Number to Alphbet</t>
  </si>
  <si>
    <t>%age</t>
  </si>
  <si>
    <t>90-…..</t>
  </si>
  <si>
    <t>80-89</t>
  </si>
  <si>
    <t>70-79</t>
  </si>
  <si>
    <t>60-69</t>
  </si>
  <si>
    <t xml:space="preserve">Kabul Jan </t>
  </si>
  <si>
    <t xml:space="preserve">Total </t>
  </si>
  <si>
    <t>Ice cream</t>
  </si>
  <si>
    <t>Cake</t>
  </si>
  <si>
    <t>Pizza</t>
  </si>
  <si>
    <t>Chips</t>
  </si>
  <si>
    <t>Chapati</t>
  </si>
  <si>
    <t>Rice</t>
  </si>
  <si>
    <t>Ahmed Sufiyan</t>
  </si>
  <si>
    <t>Dated</t>
  </si>
  <si>
    <t>Bilqees</t>
  </si>
  <si>
    <t>Sadaf Hameed</t>
  </si>
  <si>
    <t>Arshad Hameed</t>
  </si>
  <si>
    <t>Hooreadan</t>
  </si>
  <si>
    <t>Muhammad Huzifa</t>
  </si>
  <si>
    <t>Shoaib Ahmed</t>
  </si>
  <si>
    <t>Rizwan Ahmed</t>
  </si>
  <si>
    <t>Nazia</t>
  </si>
  <si>
    <t>Saleem</t>
  </si>
  <si>
    <t>Kenza</t>
  </si>
  <si>
    <t>Mahin Shah</t>
  </si>
  <si>
    <t>Shamoon Tareen</t>
  </si>
  <si>
    <t>Ukasha</t>
  </si>
  <si>
    <t>Motn</t>
  </si>
  <si>
    <t>Noor Khan</t>
  </si>
  <si>
    <t>Abid</t>
  </si>
  <si>
    <t>Sher Khan</t>
  </si>
  <si>
    <t>Juma Khan</t>
  </si>
  <si>
    <t>Gul Khan</t>
  </si>
  <si>
    <t>Ameen Khan</t>
  </si>
  <si>
    <t>Afiz Khan</t>
  </si>
  <si>
    <t>dsfsd</t>
  </si>
  <si>
    <t xml:space="preserve">    Syed Mohsin Shah  </t>
  </si>
  <si>
    <t>randbetween</t>
  </si>
  <si>
    <t>Aniqa</t>
  </si>
  <si>
    <t>Inshra</t>
  </si>
  <si>
    <t>Arsalan</t>
  </si>
  <si>
    <t>New</t>
  </si>
  <si>
    <t>Maham</t>
  </si>
  <si>
    <t>Muhammad Haris</t>
  </si>
  <si>
    <t>List</t>
  </si>
  <si>
    <t>Bread</t>
  </si>
  <si>
    <t>afiz khan</t>
  </si>
  <si>
    <t>Unit Price</t>
  </si>
  <si>
    <t xml:space="preserve">1st </t>
  </si>
  <si>
    <t>2nd</t>
  </si>
  <si>
    <t>3rd</t>
  </si>
  <si>
    <t xml:space="preserve">                                Ali Nasar               </t>
  </si>
  <si>
    <t>Sher Ali</t>
  </si>
  <si>
    <t xml:space="preserve">    Akbar Khan</t>
  </si>
  <si>
    <t xml:space="preserve">       </t>
  </si>
  <si>
    <t xml:space="preserve">  </t>
  </si>
  <si>
    <t xml:space="preserve">    </t>
  </si>
  <si>
    <t>OrderDate</t>
  </si>
  <si>
    <t>Region</t>
  </si>
  <si>
    <t>Rep</t>
  </si>
  <si>
    <t>Units</t>
  </si>
  <si>
    <t>UnitCost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</si>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</sst>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[$-F800]dddd\,\ mmmm\ dd\,\ yyyy"/>
    <numFmt numFmtId="166" formatCode="_([$PKR]\ * #,##0.00_);_([$PKR]\ * \(#,##0.00\);_([$PKR]\ * &quot;-&quot;??_);_(@_)"/>
    <numFmt numFmtId="167" formatCode="[$PKR]\ #,##0.00"/>
    <numFmt numFmtId="168" formatCode="dd\-mm\-yyyy"/>
    <numFmt numFmtId="169" formatCode="_([$PKR]\ * #,##0_);_([$PKR]\ * \(#,##0\);_([$PKR]\ * &quot;-&quot;_);_(@_)"/>
    <numFmt numFmtId="170" formatCode="0\ &quot;KG&quot;"/>
    <numFmt numFmtId="171" formatCode="&quot;Rs&quot;\ 0"/>
    <numFmt numFmtId="172" formatCode="[$-409]d\-mmm\-yy;@"/>
    <numFmt numFmtId="173" formatCode="[$-409]dd\-mmm\-yy;@"/>
    <numFmt numFmtId="174" formatCode="[$-409]d\-mmm\-yyyy;@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72"/>
      <color theme="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i/>
      <u val="double"/>
      <sz val="24"/>
      <color rgb="FF00B050"/>
      <name val="Algerian"/>
      <family val="5"/>
    </font>
    <font>
      <sz val="3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FFFF00"/>
      <name val="Arial"/>
      <family val="2"/>
    </font>
    <font>
      <b/>
      <sz val="18"/>
      <color theme="1"/>
      <name val="Calibri"/>
      <family val="2"/>
      <scheme val="minor"/>
    </font>
    <font>
      <sz val="16"/>
      <color theme="1"/>
      <name val="Wingdings"/>
      <charset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24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8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0" fillId="19" borderId="0" xfId="0" applyFill="1"/>
    <xf numFmtId="0" fontId="0" fillId="20" borderId="1" xfId="0" applyFill="1" applyBorder="1" applyAlignment="1">
      <alignment horizontal="center" vertical="center"/>
    </xf>
    <xf numFmtId="166" fontId="0" fillId="20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/>
    </xf>
    <xf numFmtId="166" fontId="0" fillId="0" borderId="1" xfId="0" applyNumberFormat="1" applyBorder="1"/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/>
    <xf numFmtId="0" fontId="0" fillId="4" borderId="1" xfId="0" applyFill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wrapText="1"/>
    </xf>
    <xf numFmtId="0" fontId="0" fillId="22" borderId="0" xfId="0" applyFill="1"/>
    <xf numFmtId="0" fontId="0" fillId="0" borderId="0" xfId="0" applyAlignment="1">
      <alignment horizontal="center" vertical="center"/>
    </xf>
    <xf numFmtId="0" fontId="3" fillId="5" borderId="0" xfId="0" applyFont="1" applyFill="1"/>
    <xf numFmtId="0" fontId="0" fillId="19" borderId="0" xfId="0" applyFill="1" applyAlignment="1">
      <alignment horizontal="center" vertical="center"/>
    </xf>
    <xf numFmtId="0" fontId="0" fillId="0" borderId="1" xfId="0" applyBorder="1"/>
    <xf numFmtId="0" fontId="0" fillId="19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11" borderId="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164" fontId="0" fillId="0" borderId="12" xfId="0" applyNumberFormat="1" applyBorder="1" applyAlignment="1">
      <alignment horizontal="left" vertical="center"/>
    </xf>
    <xf numFmtId="14" fontId="0" fillId="0" borderId="0" xfId="0" applyNumberFormat="1"/>
    <xf numFmtId="0" fontId="0" fillId="25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164" fontId="0" fillId="27" borderId="1" xfId="0" applyNumberForma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28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8" fontId="0" fillId="0" borderId="0" xfId="0" applyNumberFormat="1"/>
    <xf numFmtId="169" fontId="0" fillId="0" borderId="1" xfId="0" applyNumberFormat="1" applyBorder="1" applyAlignment="1">
      <alignment horizontal="center" vertical="center"/>
    </xf>
    <xf numFmtId="169" fontId="0" fillId="9" borderId="1" xfId="0" applyNumberForma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/>
    <xf numFmtId="0" fontId="0" fillId="4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17" fillId="0" borderId="0" xfId="1"/>
    <xf numFmtId="0" fontId="1" fillId="0" borderId="0" xfId="0" applyFont="1"/>
    <xf numFmtId="0" fontId="0" fillId="5" borderId="0" xfId="0" applyFill="1"/>
    <xf numFmtId="22" fontId="0" fillId="0" borderId="0" xfId="0" applyNumberFormat="1"/>
    <xf numFmtId="0" fontId="0" fillId="20" borderId="0" xfId="0" applyFill="1"/>
    <xf numFmtId="0" fontId="0" fillId="0" borderId="4" xfId="0" applyBorder="1" applyAlignment="1">
      <alignment horizontal="center" vertical="center"/>
    </xf>
    <xf numFmtId="0" fontId="18" fillId="29" borderId="14" xfId="0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9" fontId="0" fillId="11" borderId="7" xfId="0" applyNumberFormat="1" applyFill="1" applyBorder="1" applyAlignment="1">
      <alignment horizontal="center" vertical="center"/>
    </xf>
    <xf numFmtId="169" fontId="0" fillId="11" borderId="15" xfId="0" applyNumberFormat="1" applyFill="1" applyBorder="1" applyAlignment="1">
      <alignment horizontal="center" vertical="center"/>
    </xf>
    <xf numFmtId="0" fontId="0" fillId="0" borderId="6" xfId="0" applyBorder="1"/>
    <xf numFmtId="0" fontId="0" fillId="0" borderId="19" xfId="0" applyBorder="1"/>
    <xf numFmtId="0" fontId="0" fillId="0" borderId="5" xfId="0" applyBorder="1"/>
    <xf numFmtId="0" fontId="0" fillId="0" borderId="14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170" fontId="0" fillId="0" borderId="0" xfId="0" applyNumberFormat="1"/>
    <xf numFmtId="17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5" fontId="0" fillId="0" borderId="0" xfId="0" applyNumberFormat="1"/>
    <xf numFmtId="169" fontId="0" fillId="0" borderId="0" xfId="0" applyNumberFormat="1"/>
    <xf numFmtId="172" fontId="0" fillId="0" borderId="0" xfId="0" applyNumberFormat="1"/>
    <xf numFmtId="172" fontId="26" fillId="0" borderId="0" xfId="0" applyNumberFormat="1" applyFont="1" applyAlignment="1">
      <alignment horizontal="center" vertical="center"/>
    </xf>
    <xf numFmtId="169" fontId="26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9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8" fontId="0" fillId="0" borderId="4" xfId="0" applyNumberFormat="1" applyBorder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5" fillId="31" borderId="7" xfId="0" applyFont="1" applyFill="1" applyBorder="1" applyAlignment="1">
      <alignment horizontal="left" vertical="center"/>
    </xf>
    <xf numFmtId="0" fontId="5" fillId="31" borderId="7" xfId="0" applyFont="1" applyFill="1" applyBorder="1" applyAlignment="1">
      <alignment horizontal="center" vertical="center"/>
    </xf>
    <xf numFmtId="0" fontId="27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32" borderId="1" xfId="0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69" fontId="0" fillId="34" borderId="1" xfId="0" applyNumberFormat="1" applyFill="1" applyBorder="1" applyAlignment="1">
      <alignment horizontal="center" vertical="center"/>
    </xf>
    <xf numFmtId="169" fontId="0" fillId="15" borderId="1" xfId="0" applyNumberFormat="1" applyFill="1" applyBorder="1" applyAlignment="1">
      <alignment horizontal="center" vertical="center"/>
    </xf>
    <xf numFmtId="166" fontId="0" fillId="34" borderId="1" xfId="0" applyNumberFormat="1" applyFill="1" applyBorder="1" applyAlignment="1">
      <alignment horizontal="center" vertical="center"/>
    </xf>
    <xf numFmtId="0" fontId="0" fillId="34" borderId="1" xfId="0" applyFill="1" applyBorder="1" applyAlignment="1">
      <alignment horizontal="center"/>
    </xf>
    <xf numFmtId="0" fontId="0" fillId="15" borderId="5" xfId="0" applyFill="1" applyBorder="1"/>
    <xf numFmtId="168" fontId="0" fillId="15" borderId="5" xfId="0" applyNumberFormat="1" applyFill="1" applyBorder="1"/>
    <xf numFmtId="0" fontId="0" fillId="13" borderId="1" xfId="0" applyFill="1" applyBorder="1" applyAlignment="1">
      <alignment horizontal="center"/>
    </xf>
    <xf numFmtId="0" fontId="9" fillId="32" borderId="7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9" fontId="0" fillId="9" borderId="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13" borderId="1" xfId="0" applyFill="1" applyBorder="1" applyAlignment="1">
      <alignment horizontal="center" vertical="center"/>
    </xf>
    <xf numFmtId="22" fontId="0" fillId="23" borderId="1" xfId="0" applyNumberFormat="1" applyFill="1" applyBorder="1" applyAlignment="1">
      <alignment vertical="center"/>
    </xf>
    <xf numFmtId="0" fontId="25" fillId="5" borderId="1" xfId="0" applyFont="1" applyFill="1" applyBorder="1" applyAlignment="1">
      <alignment horizontal="center"/>
    </xf>
    <xf numFmtId="164" fontId="29" fillId="0" borderId="0" xfId="0" applyNumberFormat="1" applyFont="1"/>
    <xf numFmtId="1" fontId="31" fillId="0" borderId="1" xfId="0" applyNumberFormat="1" applyFont="1" applyBorder="1"/>
    <xf numFmtId="0" fontId="1" fillId="7" borderId="3" xfId="0" applyFont="1" applyFill="1" applyBorder="1" applyAlignment="1">
      <alignment horizontal="center" vertical="center"/>
    </xf>
    <xf numFmtId="0" fontId="6" fillId="11" borderId="1" xfId="0" applyFont="1" applyFill="1" applyBorder="1"/>
    <xf numFmtId="0" fontId="0" fillId="29" borderId="3" xfId="0" applyFill="1" applyBorder="1" applyAlignment="1">
      <alignment horizontal="center"/>
    </xf>
    <xf numFmtId="0" fontId="6" fillId="11" borderId="3" xfId="0" applyFont="1" applyFill="1" applyBorder="1"/>
    <xf numFmtId="0" fontId="31" fillId="5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19" fillId="4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15" fontId="5" fillId="35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1" fillId="0" borderId="0" xfId="0" applyFont="1"/>
    <xf numFmtId="0" fontId="29" fillId="0" borderId="0" xfId="0" applyFont="1"/>
    <xf numFmtId="0" fontId="0" fillId="36" borderId="1" xfId="0" applyFill="1" applyBorder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7" fillId="11" borderId="1" xfId="0" applyFont="1" applyFill="1" applyBorder="1" applyAlignment="1">
      <alignment horizontal="center"/>
    </xf>
    <xf numFmtId="0" fontId="31" fillId="11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6" fillId="10" borderId="17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19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20" xfId="0" applyFont="1" applyFill="1" applyBorder="1" applyAlignment="1">
      <alignment horizontal="center" vertical="center"/>
    </xf>
    <xf numFmtId="169" fontId="6" fillId="9" borderId="14" xfId="0" applyNumberFormat="1" applyFont="1" applyFill="1" applyBorder="1" applyAlignment="1">
      <alignment horizontal="center" vertical="center"/>
    </xf>
    <xf numFmtId="0" fontId="34" fillId="11" borderId="20" xfId="0" applyFont="1" applyFill="1" applyBorder="1" applyAlignment="1">
      <alignment horizontal="center" vertical="center"/>
    </xf>
    <xf numFmtId="0" fontId="34" fillId="11" borderId="15" xfId="0" applyFont="1" applyFill="1" applyBorder="1" applyAlignment="1">
      <alignment horizontal="center" vertical="center"/>
    </xf>
    <xf numFmtId="0" fontId="34" fillId="11" borderId="19" xfId="0" applyFont="1" applyFill="1" applyBorder="1" applyAlignment="1">
      <alignment horizontal="center" vertical="center"/>
    </xf>
    <xf numFmtId="167" fontId="26" fillId="0" borderId="1" xfId="0" applyNumberFormat="1" applyFont="1" applyBorder="1" applyAlignment="1">
      <alignment horizontal="center" vertical="center"/>
    </xf>
    <xf numFmtId="0" fontId="0" fillId="38" borderId="0" xfId="0" applyFill="1" applyAlignment="1">
      <alignment horizontal="center"/>
    </xf>
    <xf numFmtId="0" fontId="0" fillId="38" borderId="1" xfId="0" applyFill="1" applyBorder="1" applyAlignment="1">
      <alignment horizontal="center"/>
    </xf>
    <xf numFmtId="164" fontId="0" fillId="0" borderId="0" xfId="0" applyNumberFormat="1"/>
    <xf numFmtId="0" fontId="0" fillId="38" borderId="14" xfId="0" applyFill="1" applyBorder="1" applyAlignment="1">
      <alignment horizontal="center"/>
    </xf>
    <xf numFmtId="0" fontId="0" fillId="0" borderId="0" xfId="0" applyAlignment="1">
      <alignment horizontal="left" vertical="top"/>
    </xf>
    <xf numFmtId="0" fontId="35" fillId="0" borderId="0" xfId="0" applyFont="1"/>
    <xf numFmtId="0" fontId="16" fillId="0" borderId="0" xfId="0" applyFont="1"/>
    <xf numFmtId="0" fontId="30" fillId="15" borderId="14" xfId="0" applyFont="1" applyFill="1" applyBorder="1" applyAlignment="1">
      <alignment horizontal="center" vertical="center" textRotation="255"/>
    </xf>
    <xf numFmtId="0" fontId="30" fillId="15" borderId="7" xfId="0" applyFont="1" applyFill="1" applyBorder="1" applyAlignment="1">
      <alignment horizontal="center" vertical="center" textRotation="255"/>
    </xf>
    <xf numFmtId="1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5" fillId="37" borderId="17" xfId="0" applyFont="1" applyFill="1" applyBorder="1" applyAlignment="1">
      <alignment horizontal="center" vertical="center"/>
    </xf>
    <xf numFmtId="0" fontId="15" fillId="37" borderId="16" xfId="0" applyFont="1" applyFill="1" applyBorder="1" applyAlignment="1">
      <alignment horizontal="center" vertical="center"/>
    </xf>
    <xf numFmtId="0" fontId="15" fillId="37" borderId="18" xfId="0" applyFont="1" applyFill="1" applyBorder="1" applyAlignment="1">
      <alignment horizontal="center" vertical="center"/>
    </xf>
    <xf numFmtId="0" fontId="15" fillId="37" borderId="6" xfId="0" applyFont="1" applyFill="1" applyBorder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15" fillId="37" borderId="4" xfId="0" applyFont="1" applyFill="1" applyBorder="1" applyAlignment="1">
      <alignment horizontal="center" vertical="center"/>
    </xf>
    <xf numFmtId="0" fontId="15" fillId="37" borderId="19" xfId="0" applyFont="1" applyFill="1" applyBorder="1" applyAlignment="1">
      <alignment horizontal="center" vertical="center"/>
    </xf>
    <xf numFmtId="0" fontId="15" fillId="37" borderId="5" xfId="0" applyFont="1" applyFill="1" applyBorder="1" applyAlignment="1">
      <alignment horizontal="center" vertical="center"/>
    </xf>
    <xf numFmtId="0" fontId="15" fillId="37" borderId="20" xfId="0" applyFont="1" applyFill="1" applyBorder="1" applyAlignment="1">
      <alignment horizontal="center" vertical="center"/>
    </xf>
    <xf numFmtId="169" fontId="23" fillId="5" borderId="6" xfId="0" applyNumberFormat="1" applyFont="1" applyFill="1" applyBorder="1" applyAlignment="1">
      <alignment horizontal="center" vertical="center"/>
    </xf>
    <xf numFmtId="169" fontId="23" fillId="5" borderId="0" xfId="0" applyNumberFormat="1" applyFont="1" applyFill="1" applyAlignment="1">
      <alignment horizontal="center" vertical="center"/>
    </xf>
    <xf numFmtId="169" fontId="23" fillId="5" borderId="4" xfId="0" applyNumberFormat="1" applyFont="1" applyFill="1" applyBorder="1" applyAlignment="1">
      <alignment horizontal="center" vertical="center"/>
    </xf>
    <xf numFmtId="0" fontId="0" fillId="20" borderId="0" xfId="0" applyFill="1" applyAlignment="1">
      <alignment horizontal="center"/>
    </xf>
    <xf numFmtId="0" fontId="20" fillId="27" borderId="17" xfId="0" applyFont="1" applyFill="1" applyBorder="1" applyAlignment="1">
      <alignment horizontal="left" vertical="center" indent="13"/>
    </xf>
    <xf numFmtId="0" fontId="20" fillId="27" borderId="16" xfId="0" applyFont="1" applyFill="1" applyBorder="1" applyAlignment="1">
      <alignment horizontal="left" vertical="center" indent="13"/>
    </xf>
    <xf numFmtId="0" fontId="20" fillId="27" borderId="18" xfId="0" applyFont="1" applyFill="1" applyBorder="1" applyAlignment="1">
      <alignment horizontal="left" vertical="center" indent="13"/>
    </xf>
    <xf numFmtId="0" fontId="22" fillId="27" borderId="6" xfId="0" applyFont="1" applyFill="1" applyBorder="1" applyAlignment="1">
      <alignment horizontal="left" vertical="center" indent="13"/>
    </xf>
    <xf numFmtId="0" fontId="22" fillId="27" borderId="0" xfId="0" applyFont="1" applyFill="1" applyAlignment="1">
      <alignment horizontal="left" vertical="center" indent="13"/>
    </xf>
    <xf numFmtId="0" fontId="22" fillId="27" borderId="4" xfId="0" applyFont="1" applyFill="1" applyBorder="1" applyAlignment="1">
      <alignment horizontal="left" vertical="center" indent="13"/>
    </xf>
    <xf numFmtId="0" fontId="21" fillId="27" borderId="6" xfId="0" applyFont="1" applyFill="1" applyBorder="1" applyAlignment="1">
      <alignment horizontal="left" vertical="center" indent="13"/>
    </xf>
    <xf numFmtId="0" fontId="21" fillId="27" borderId="0" xfId="0" applyFont="1" applyFill="1" applyAlignment="1">
      <alignment horizontal="left" vertical="center" indent="13"/>
    </xf>
    <xf numFmtId="0" fontId="21" fillId="27" borderId="4" xfId="0" applyFont="1" applyFill="1" applyBorder="1" applyAlignment="1">
      <alignment horizontal="left" vertical="center" indent="13"/>
    </xf>
    <xf numFmtId="0" fontId="19" fillId="30" borderId="1" xfId="0" applyFont="1" applyFill="1" applyBorder="1"/>
    <xf numFmtId="0" fontId="0" fillId="3" borderId="1" xfId="0" applyFill="1" applyBorder="1" applyAlignment="1">
      <alignment horizontal="center"/>
    </xf>
    <xf numFmtId="0" fontId="13" fillId="16" borderId="0" xfId="0" applyFont="1" applyFill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9" borderId="2" xfId="0" applyFill="1" applyBorder="1" applyAlignment="1">
      <alignment horizontal="center"/>
    </xf>
    <xf numFmtId="0" fontId="0" fillId="29" borderId="3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/>
    </xf>
    <xf numFmtId="0" fontId="27" fillId="25" borderId="2" xfId="0" applyFont="1" applyFill="1" applyBorder="1" applyAlignment="1">
      <alignment horizontal="center"/>
    </xf>
    <xf numFmtId="0" fontId="27" fillId="25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vertical="center"/>
    </xf>
    <xf numFmtId="166" fontId="5" fillId="6" borderId="2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7" fillId="26" borderId="5" xfId="0" applyFont="1" applyFill="1" applyBorder="1" applyAlignment="1">
      <alignment horizontal="center"/>
    </xf>
    <xf numFmtId="0" fontId="8" fillId="27" borderId="14" xfId="0" applyFont="1" applyFill="1" applyBorder="1" applyAlignment="1">
      <alignment horizontal="center" vertical="center"/>
    </xf>
    <xf numFmtId="0" fontId="8" fillId="27" borderId="7" xfId="0" applyFont="1" applyFill="1" applyBorder="1" applyAlignment="1">
      <alignment horizontal="center" vertical="center"/>
    </xf>
    <xf numFmtId="0" fontId="8" fillId="27" borderId="15" xfId="0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10" fillId="19" borderId="1" xfId="0" applyFont="1" applyFill="1" applyBorder="1" applyAlignment="1">
      <alignment horizontal="center"/>
    </xf>
    <xf numFmtId="166" fontId="0" fillId="19" borderId="2" xfId="0" applyNumberFormat="1" applyFill="1" applyBorder="1" applyAlignment="1">
      <alignment horizontal="center" vertical="center"/>
    </xf>
    <xf numFmtId="166" fontId="0" fillId="19" borderId="3" xfId="0" applyNumberForma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10" fillId="19" borderId="6" xfId="0" applyFont="1" applyFill="1" applyBorder="1" applyAlignment="1">
      <alignment horizontal="center"/>
    </xf>
    <xf numFmtId="0" fontId="10" fillId="19" borderId="0" xfId="0" applyFont="1" applyFill="1" applyAlignment="1">
      <alignment horizontal="center"/>
    </xf>
    <xf numFmtId="0" fontId="0" fillId="15" borderId="5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6" xfId="0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0" fontId="29" fillId="24" borderId="6" xfId="0" applyFont="1" applyFill="1" applyBorder="1" applyAlignment="1">
      <alignment horizontal="center" vertical="center"/>
    </xf>
    <xf numFmtId="0" fontId="29" fillId="24" borderId="0" xfId="0" applyFont="1" applyFill="1" applyAlignment="1">
      <alignment horizontal="center" vertical="center"/>
    </xf>
    <xf numFmtId="0" fontId="29" fillId="24" borderId="4" xfId="0" applyFont="1" applyFill="1" applyBorder="1" applyAlignment="1">
      <alignment horizontal="center" vertical="center"/>
    </xf>
    <xf numFmtId="0" fontId="29" fillId="24" borderId="19" xfId="0" applyFont="1" applyFill="1" applyBorder="1" applyAlignment="1">
      <alignment horizontal="center" vertical="center"/>
    </xf>
    <xf numFmtId="0" fontId="29" fillId="24" borderId="5" xfId="0" applyFont="1" applyFill="1" applyBorder="1" applyAlignment="1">
      <alignment horizontal="center" vertical="center"/>
    </xf>
    <xf numFmtId="0" fontId="29" fillId="24" borderId="2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9" fillId="10" borderId="16" xfId="0" applyFont="1" applyFill="1" applyBorder="1" applyAlignment="1">
      <alignment horizontal="center" vertical="center"/>
    </xf>
    <xf numFmtId="0" fontId="29" fillId="10" borderId="18" xfId="0" applyFont="1" applyFill="1" applyBorder="1" applyAlignment="1">
      <alignment horizontal="center" vertical="center"/>
    </xf>
    <xf numFmtId="0" fontId="29" fillId="10" borderId="0" xfId="0" applyFont="1" applyFill="1" applyAlignment="1">
      <alignment horizontal="center" vertical="center"/>
    </xf>
    <xf numFmtId="0" fontId="29" fillId="10" borderId="4" xfId="0" applyFont="1" applyFill="1" applyBorder="1" applyAlignment="1">
      <alignment horizontal="center" vertical="center"/>
    </xf>
    <xf numFmtId="0" fontId="29" fillId="10" borderId="5" xfId="0" applyFont="1" applyFill="1" applyBorder="1" applyAlignment="1">
      <alignment horizontal="center" vertical="center"/>
    </xf>
    <xf numFmtId="0" fontId="29" fillId="10" borderId="20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1">
    <dxf>
      <font>
        <color rgb="FF0066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66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66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66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6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_([$PKR]\ * #,##0_);_([$PKR]\ * \(#,##0\);_([$PKR]\ * &quot;-&quot;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_([$PKR]\ * #,##0_);_([$PKR]\ * \(#,##0\);_([$PKR]\ * &quot;-&quot;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Word Population</a:t>
            </a:r>
          </a:p>
        </c:rich>
      </c:tx>
      <c:layout>
        <c:manualLayout>
          <c:xMode val="edge"/>
          <c:yMode val="edge"/>
          <c:x val="0.4178263342082240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6D-48B7-94B4-DDFD75C79C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6D-48B7-94B4-DDFD75C79C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6D-48B7-94B4-DDFD75C79C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6D-48B7-94B4-DDFD75C79C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6D-48B7-94B4-DDFD75C79C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6D-48B7-94B4-DDFD75C79C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Population!$B$3:$B$8</c:f>
              <c:strCache>
                <c:ptCount val="6"/>
                <c:pt idx="0">
                  <c:v>China</c:v>
                </c:pt>
                <c:pt idx="1">
                  <c:v>India</c:v>
                </c:pt>
                <c:pt idx="2">
                  <c:v>USA</c:v>
                </c:pt>
                <c:pt idx="3">
                  <c:v>Indonesia</c:v>
                </c:pt>
                <c:pt idx="4">
                  <c:v>Pakistan</c:v>
                </c:pt>
                <c:pt idx="5">
                  <c:v>Brazil</c:v>
                </c:pt>
              </c:strCache>
            </c:strRef>
          </c:cat>
          <c:val>
            <c:numRef>
              <c:f>Population!$C$3:$C$8</c:f>
              <c:numCache>
                <c:formatCode>#,##0</c:formatCode>
                <c:ptCount val="6"/>
                <c:pt idx="0">
                  <c:v>1439323776</c:v>
                </c:pt>
                <c:pt idx="1">
                  <c:v>1380004385</c:v>
                </c:pt>
                <c:pt idx="2">
                  <c:v>331002651</c:v>
                </c:pt>
                <c:pt idx="3">
                  <c:v>273523615</c:v>
                </c:pt>
                <c:pt idx="4">
                  <c:v>220892340</c:v>
                </c:pt>
                <c:pt idx="5">
                  <c:v>212559417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4-4D39-831E-4DAFEBE5AE3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121227</xdr:colOff>
      <xdr:row>54</xdr:row>
      <xdr:rowOff>0</xdr:rowOff>
    </xdr:from>
    <xdr:to>
      <xdr:col>1</xdr:col>
      <xdr:colOff>355023</xdr:colOff>
      <xdr:row>56</xdr:row>
      <xdr:rowOff>173182</xdr:rowOff>
    </xdr:to>
    <xdr:sp macro="" textlink="">
      <xdr:nvSpPr>
        <xdr:cNvPr id="3" name="Round Diagonal Corner 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1227" y="10278341"/>
          <a:ext cx="839932" cy="640773"/>
        </a:xfrm>
        <a:prstGeom prst="round2DiagRect">
          <a:avLst>
            <a:gd name="adj1" fmla="val 50000"/>
            <a:gd name="adj2" fmla="val 0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208289</xdr:colOff>
      <xdr:row>54</xdr:row>
      <xdr:rowOff>54829</xdr:rowOff>
    </xdr:from>
    <xdr:to>
      <xdr:col>1</xdr:col>
      <xdr:colOff>323746</xdr:colOff>
      <xdr:row>56</xdr:row>
      <xdr:rowOff>147205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89" y="10333170"/>
          <a:ext cx="721593" cy="5599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441002</xdr:colOff>
      <xdr:row>0</xdr:row>
      <xdr:rowOff>0</xdr:rowOff>
    </xdr:from>
    <xdr:to>
      <xdr:col>2</xdr:col>
      <xdr:colOff>941294</xdr:colOff>
      <xdr:row>5</xdr:row>
      <xdr:rowOff>58712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54FEC6-64BB-3B3D-ADA9-8C2D6806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6120" y="0"/>
          <a:ext cx="1351939" cy="15042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7</xdr:row>
      <xdr:rowOff>133350</xdr:rowOff>
    </xdr:from>
    <xdr:to>
      <xdr:col>13</xdr:col>
      <xdr:colOff>581025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39:H47" totalsRowCount="1" headerRowDxfId="70" headerRowBorderDxfId="69" tableBorderDxfId="68" totalsRowBorderDxfId="67">
  <tableColumns count="7">
    <tableColumn id="1" xr3:uid="{00000000-0010-0000-0000-000001000000}" name="SN" dataDxfId="66" totalsRowDxfId="65"/>
    <tableColumn id="2" xr3:uid="{00000000-0010-0000-0000-000002000000}" name="Products" dataDxfId="64" totalsRowDxfId="63"/>
    <tableColumn id="3" xr3:uid="{00000000-0010-0000-0000-000003000000}" name="Quantity" dataDxfId="62" totalsRowDxfId="61"/>
    <tableColumn id="4" xr3:uid="{00000000-0010-0000-0000-000004000000}" name="Unit Price" dataDxfId="60" totalsRowDxfId="59"/>
    <tableColumn id="5" xr3:uid="{00000000-0010-0000-0000-000005000000}" name="Total" totalsRowFunction="custom" totalsRowDxfId="58">
      <calculatedColumnFormula>D40*E40</calculatedColumnFormula>
      <totalsRowFormula>SUM(Table3[Total])</totalsRowFormula>
    </tableColumn>
    <tableColumn id="6" xr3:uid="{00000000-0010-0000-0000-000006000000}" name="Discount" totalsRowFunction="custom" dataDxfId="57" totalsRowDxfId="56">
      <calculatedColumnFormula>F40*5%</calculatedColumnFormula>
      <totalsRowFormula>SUM(Table3[Discount])</totalsRowFormula>
    </tableColumn>
    <tableColumn id="7" xr3:uid="{00000000-0010-0000-0000-000007000000}" name="Paybale" totalsRowFunction="custom" dataDxfId="55" totalsRowDxfId="54">
      <calculatedColumnFormula>F40-G40</calculatedColumnFormula>
      <totalsRowFormula>SUM(Table3[Paybale])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9" totalsRowShown="0" headerRowDxfId="53">
  <autoFilter ref="A1:E39" xr:uid="{00000000-0009-0000-0100-000002000000}"/>
  <tableColumns count="5">
    <tableColumn id="1" xr3:uid="{00000000-0010-0000-0100-000001000000}" name="Invoice No."/>
    <tableColumn id="2" xr3:uid="{00000000-0010-0000-0100-000002000000}" name="Date"/>
    <tableColumn id="3" xr3:uid="{00000000-0010-0000-0100-000003000000}" name="Amount"/>
    <tableColumn id="4" xr3:uid="{00000000-0010-0000-0100-000004000000}" name="Discount"/>
    <tableColumn id="5" xr3:uid="{00000000-0010-0000-0100-000005000000}" name="Total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Godown.xlsx" TargetMode="External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5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18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5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5" Type="http://schemas.openxmlformats.org/officeDocument/2006/relationships/printerSettings" Target="../printerSettings/printerSettings47.bin"/><Relationship Id="rId4" Type="http://schemas.openxmlformats.org/officeDocument/2006/relationships/printerSettings" Target="../printerSettings/printerSettings4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79"/>
  <sheetViews>
    <sheetView topLeftCell="A31" zoomScale="110" zoomScaleNormal="110" workbookViewId="0">
      <selection activeCell="H52" sqref="H52"/>
    </sheetView>
  </sheetViews>
  <sheetFormatPr defaultRowHeight="15" x14ac:dyDescent="0.25"/>
  <cols>
    <col min="2" max="2" width="18.28515625" customWidth="1"/>
    <col min="3" max="4" width="10.7109375" customWidth="1"/>
    <col min="5" max="5" width="12.85546875" customWidth="1"/>
    <col min="6" max="6" width="15.140625" bestFit="1" customWidth="1"/>
    <col min="7" max="7" width="14.140625" bestFit="1" customWidth="1"/>
    <col min="8" max="8" width="20.140625" bestFit="1" customWidth="1"/>
    <col min="9" max="9" width="10.85546875" bestFit="1" customWidth="1"/>
    <col min="11" max="11" width="11.85546875" customWidth="1"/>
  </cols>
  <sheetData>
    <row r="1" spans="2:14" x14ac:dyDescent="0.25">
      <c r="B1" t="s">
        <v>274</v>
      </c>
      <c r="C1" t="s">
        <v>208</v>
      </c>
      <c r="D1" t="s">
        <v>34</v>
      </c>
      <c r="E1" t="s">
        <v>275</v>
      </c>
      <c r="F1" t="s">
        <v>37</v>
      </c>
    </row>
    <row r="2" spans="2:14" x14ac:dyDescent="0.25">
      <c r="B2">
        <v>1</v>
      </c>
      <c r="C2" t="s">
        <v>276</v>
      </c>
      <c r="D2">
        <v>4000</v>
      </c>
      <c r="E2">
        <v>8</v>
      </c>
      <c r="F2">
        <f>D2*E2</f>
        <v>32000</v>
      </c>
    </row>
    <row r="3" spans="2:14" x14ac:dyDescent="0.25">
      <c r="B3">
        <v>2</v>
      </c>
      <c r="C3" t="s">
        <v>277</v>
      </c>
      <c r="D3">
        <v>14000</v>
      </c>
      <c r="E3">
        <v>6</v>
      </c>
      <c r="F3">
        <f t="shared" ref="F3:F4" si="0">D3*E3</f>
        <v>84000</v>
      </c>
      <c r="H3">
        <v>1</v>
      </c>
      <c r="I3">
        <v>1</v>
      </c>
      <c r="J3">
        <v>2</v>
      </c>
      <c r="K3" t="s">
        <v>279</v>
      </c>
      <c r="L3" t="s">
        <v>286</v>
      </c>
      <c r="M3" t="s">
        <v>293</v>
      </c>
      <c r="N3" t="s">
        <v>304</v>
      </c>
    </row>
    <row r="4" spans="2:14" x14ac:dyDescent="0.25">
      <c r="B4">
        <v>3</v>
      </c>
      <c r="C4" t="s">
        <v>278</v>
      </c>
      <c r="D4">
        <v>750</v>
      </c>
      <c r="E4">
        <v>22</v>
      </c>
      <c r="F4">
        <f t="shared" si="0"/>
        <v>16500</v>
      </c>
      <c r="H4">
        <v>2</v>
      </c>
      <c r="I4">
        <v>1</v>
      </c>
      <c r="J4">
        <v>4</v>
      </c>
      <c r="K4" t="s">
        <v>280</v>
      </c>
      <c r="L4" t="s">
        <v>287</v>
      </c>
      <c r="M4" t="s">
        <v>294</v>
      </c>
      <c r="N4" t="s">
        <v>305</v>
      </c>
    </row>
    <row r="5" spans="2:14" x14ac:dyDescent="0.25">
      <c r="H5">
        <v>3</v>
      </c>
      <c r="I5">
        <v>1</v>
      </c>
      <c r="J5">
        <v>6</v>
      </c>
      <c r="K5" t="s">
        <v>281</v>
      </c>
      <c r="L5" t="s">
        <v>288</v>
      </c>
      <c r="M5" t="s">
        <v>295</v>
      </c>
      <c r="N5" t="s">
        <v>306</v>
      </c>
    </row>
    <row r="6" spans="2:14" x14ac:dyDescent="0.25">
      <c r="B6">
        <v>300000</v>
      </c>
      <c r="C6">
        <v>500000</v>
      </c>
      <c r="D6">
        <v>700000</v>
      </c>
      <c r="H6">
        <v>4</v>
      </c>
      <c r="I6">
        <v>1</v>
      </c>
      <c r="J6">
        <v>8</v>
      </c>
      <c r="K6" t="s">
        <v>282</v>
      </c>
      <c r="L6" t="s">
        <v>289</v>
      </c>
      <c r="M6" t="s">
        <v>296</v>
      </c>
      <c r="N6" t="s">
        <v>307</v>
      </c>
    </row>
    <row r="7" spans="2:14" x14ac:dyDescent="0.25">
      <c r="H7">
        <v>5</v>
      </c>
      <c r="I7">
        <v>1</v>
      </c>
      <c r="J7">
        <v>10</v>
      </c>
      <c r="K7" t="s">
        <v>283</v>
      </c>
      <c r="L7" t="s">
        <v>290</v>
      </c>
      <c r="M7" t="s">
        <v>297</v>
      </c>
      <c r="N7" t="s">
        <v>297</v>
      </c>
    </row>
    <row r="8" spans="2:14" x14ac:dyDescent="0.25">
      <c r="H8">
        <v>6</v>
      </c>
      <c r="I8">
        <v>1</v>
      </c>
      <c r="J8">
        <v>12</v>
      </c>
      <c r="K8" t="s">
        <v>284</v>
      </c>
      <c r="L8" t="s">
        <v>291</v>
      </c>
      <c r="M8" t="s">
        <v>298</v>
      </c>
      <c r="N8" t="s">
        <v>308</v>
      </c>
    </row>
    <row r="9" spans="2:14" x14ac:dyDescent="0.25">
      <c r="H9">
        <v>7</v>
      </c>
      <c r="I9">
        <v>1</v>
      </c>
      <c r="J9">
        <v>14</v>
      </c>
      <c r="K9" t="s">
        <v>285</v>
      </c>
      <c r="L9" t="s">
        <v>292</v>
      </c>
      <c r="M9" t="s">
        <v>299</v>
      </c>
      <c r="N9" t="s">
        <v>309</v>
      </c>
    </row>
    <row r="10" spans="2:14" x14ac:dyDescent="0.25">
      <c r="C10">
        <f>AVERAGE(B6:D6)</f>
        <v>500000</v>
      </c>
      <c r="H10">
        <v>8</v>
      </c>
      <c r="I10">
        <v>1</v>
      </c>
      <c r="J10">
        <v>16</v>
      </c>
      <c r="K10" t="s">
        <v>279</v>
      </c>
      <c r="L10" t="s">
        <v>286</v>
      </c>
      <c r="M10" t="s">
        <v>233</v>
      </c>
      <c r="N10" t="s">
        <v>310</v>
      </c>
    </row>
    <row r="11" spans="2:14" x14ac:dyDescent="0.25">
      <c r="D11" t="s">
        <v>315</v>
      </c>
      <c r="E11" s="67">
        <v>44422</v>
      </c>
      <c r="H11">
        <v>9</v>
      </c>
      <c r="I11">
        <v>1</v>
      </c>
      <c r="J11">
        <v>18</v>
      </c>
      <c r="K11" t="s">
        <v>280</v>
      </c>
      <c r="L11" t="s">
        <v>287</v>
      </c>
      <c r="M11" t="s">
        <v>300</v>
      </c>
      <c r="N11" t="s">
        <v>311</v>
      </c>
    </row>
    <row r="12" spans="2:14" x14ac:dyDescent="0.25">
      <c r="E12" s="67">
        <v>44423</v>
      </c>
      <c r="H12">
        <v>10</v>
      </c>
      <c r="I12">
        <v>1</v>
      </c>
      <c r="J12">
        <v>20</v>
      </c>
      <c r="K12" t="s">
        <v>281</v>
      </c>
      <c r="L12" t="s">
        <v>288</v>
      </c>
      <c r="M12" t="s">
        <v>301</v>
      </c>
      <c r="N12" t="s">
        <v>312</v>
      </c>
    </row>
    <row r="13" spans="2:14" x14ac:dyDescent="0.25">
      <c r="E13" s="67">
        <v>44424</v>
      </c>
      <c r="H13">
        <v>11</v>
      </c>
      <c r="I13">
        <v>1</v>
      </c>
      <c r="J13">
        <v>22</v>
      </c>
      <c r="K13" t="s">
        <v>282</v>
      </c>
      <c r="L13" t="s">
        <v>289</v>
      </c>
      <c r="M13" t="s">
        <v>302</v>
      </c>
      <c r="N13" t="s">
        <v>313</v>
      </c>
    </row>
    <row r="14" spans="2:14" x14ac:dyDescent="0.25">
      <c r="E14" s="67">
        <v>44425</v>
      </c>
      <c r="H14">
        <v>12</v>
      </c>
      <c r="I14">
        <v>1</v>
      </c>
      <c r="J14">
        <v>24</v>
      </c>
      <c r="K14" t="s">
        <v>283</v>
      </c>
      <c r="L14" t="s">
        <v>290</v>
      </c>
      <c r="M14" t="s">
        <v>303</v>
      </c>
      <c r="N14" t="s">
        <v>314</v>
      </c>
    </row>
    <row r="15" spans="2:14" x14ac:dyDescent="0.25">
      <c r="E15" s="67">
        <v>44426</v>
      </c>
      <c r="H15">
        <v>13</v>
      </c>
      <c r="I15">
        <v>1</v>
      </c>
      <c r="J15">
        <v>26</v>
      </c>
      <c r="K15" t="s">
        <v>284</v>
      </c>
      <c r="L15" t="s">
        <v>291</v>
      </c>
      <c r="M15" t="s">
        <v>293</v>
      </c>
      <c r="N15" t="s">
        <v>304</v>
      </c>
    </row>
    <row r="16" spans="2:14" ht="12.75" customHeight="1" x14ac:dyDescent="0.25"/>
    <row r="17" spans="2:21" x14ac:dyDescent="0.25">
      <c r="I17">
        <v>2</v>
      </c>
      <c r="L17">
        <v>3</v>
      </c>
    </row>
    <row r="20" spans="2:21" x14ac:dyDescent="0.25">
      <c r="B20" t="s">
        <v>316</v>
      </c>
      <c r="C20" t="s">
        <v>320</v>
      </c>
      <c r="L20" t="e">
        <f>#REF!+I17+L17</f>
        <v>#REF!</v>
      </c>
    </row>
    <row r="22" spans="2:21" x14ac:dyDescent="0.25">
      <c r="B22" t="s">
        <v>317</v>
      </c>
      <c r="C22">
        <v>750000</v>
      </c>
      <c r="F22" t="s">
        <v>23</v>
      </c>
    </row>
    <row r="23" spans="2:21" x14ac:dyDescent="0.25">
      <c r="B23" t="s">
        <v>318</v>
      </c>
      <c r="C23">
        <v>680000</v>
      </c>
    </row>
    <row r="24" spans="2:21" x14ac:dyDescent="0.25">
      <c r="B24" t="s">
        <v>319</v>
      </c>
      <c r="C24">
        <v>540000</v>
      </c>
      <c r="F24" t="s">
        <v>25</v>
      </c>
      <c r="U24" t="s">
        <v>520</v>
      </c>
    </row>
    <row r="25" spans="2:21" x14ac:dyDescent="0.25">
      <c r="B25" t="s">
        <v>21</v>
      </c>
      <c r="C25">
        <v>470000</v>
      </c>
    </row>
    <row r="26" spans="2:21" x14ac:dyDescent="0.25">
      <c r="B26" t="s">
        <v>63</v>
      </c>
      <c r="C26">
        <v>800000</v>
      </c>
    </row>
    <row r="27" spans="2:21" x14ac:dyDescent="0.25">
      <c r="B27" t="s">
        <v>22</v>
      </c>
      <c r="C27">
        <v>950000</v>
      </c>
    </row>
    <row r="28" spans="2:21" x14ac:dyDescent="0.25">
      <c r="G28" t="s">
        <v>321</v>
      </c>
    </row>
    <row r="29" spans="2:21" x14ac:dyDescent="0.25">
      <c r="B29" t="s">
        <v>37</v>
      </c>
    </row>
    <row r="31" spans="2:21" x14ac:dyDescent="0.25">
      <c r="B31" s="79" t="s">
        <v>322</v>
      </c>
      <c r="C31" s="79"/>
      <c r="D31" s="79" t="s">
        <v>323</v>
      </c>
      <c r="E31" s="79" t="s">
        <v>324</v>
      </c>
      <c r="F31" s="79" t="s">
        <v>196</v>
      </c>
      <c r="G31" s="79" t="s">
        <v>325</v>
      </c>
      <c r="H31" s="79" t="s">
        <v>123</v>
      </c>
    </row>
    <row r="33" spans="2:11" x14ac:dyDescent="0.25">
      <c r="B33">
        <v>170000</v>
      </c>
      <c r="D33">
        <v>65000</v>
      </c>
      <c r="E33">
        <v>40000</v>
      </c>
      <c r="F33">
        <v>15000</v>
      </c>
      <c r="G33">
        <v>5000</v>
      </c>
      <c r="H33">
        <f>B33-D33-E33-F33-G33</f>
        <v>45000</v>
      </c>
    </row>
    <row r="35" spans="2:11" x14ac:dyDescent="0.25">
      <c r="B35" s="206" t="s">
        <v>331</v>
      </c>
      <c r="C35" s="207"/>
      <c r="D35" s="207"/>
      <c r="E35" s="207"/>
      <c r="F35" s="207"/>
      <c r="G35" s="207"/>
      <c r="H35" s="208"/>
    </row>
    <row r="36" spans="2:11" x14ac:dyDescent="0.25">
      <c r="B36" s="209"/>
      <c r="C36" s="210"/>
      <c r="D36" s="210"/>
      <c r="E36" s="210"/>
      <c r="F36" s="210"/>
      <c r="G36" s="210"/>
      <c r="H36" s="211"/>
    </row>
    <row r="37" spans="2:11" x14ac:dyDescent="0.25">
      <c r="B37" s="209"/>
      <c r="C37" s="210"/>
      <c r="D37" s="210"/>
      <c r="E37" s="210"/>
      <c r="F37" s="210"/>
      <c r="G37" s="210"/>
      <c r="H37" s="211"/>
    </row>
    <row r="38" spans="2:11" x14ac:dyDescent="0.25">
      <c r="B38" s="212"/>
      <c r="C38" s="213"/>
      <c r="D38" s="213"/>
      <c r="E38" s="213"/>
      <c r="F38" s="213"/>
      <c r="G38" s="213"/>
      <c r="H38" s="214"/>
    </row>
    <row r="39" spans="2:11" x14ac:dyDescent="0.25">
      <c r="B39" s="190" t="s">
        <v>274</v>
      </c>
      <c r="C39" s="191" t="s">
        <v>326</v>
      </c>
      <c r="D39" s="191" t="s">
        <v>275</v>
      </c>
      <c r="E39" s="191" t="s">
        <v>532</v>
      </c>
      <c r="F39" s="191" t="s">
        <v>37</v>
      </c>
      <c r="G39" s="191" t="s">
        <v>327</v>
      </c>
      <c r="H39" s="192" t="s">
        <v>330</v>
      </c>
    </row>
    <row r="40" spans="2:11" x14ac:dyDescent="0.25">
      <c r="B40" s="147">
        <v>1</v>
      </c>
      <c r="C40" s="7" t="s">
        <v>276</v>
      </c>
      <c r="D40" s="7">
        <v>5</v>
      </c>
      <c r="E40" s="68">
        <v>3500</v>
      </c>
      <c r="F40" s="69">
        <f t="shared" ref="F40" si="1">D40*E40</f>
        <v>17500</v>
      </c>
      <c r="G40" s="69">
        <f t="shared" ref="G40" si="2">F40*5%</f>
        <v>875</v>
      </c>
      <c r="H40" s="148">
        <f t="shared" ref="H40" si="3">F40-G40</f>
        <v>16625</v>
      </c>
    </row>
    <row r="41" spans="2:11" x14ac:dyDescent="0.25">
      <c r="B41" s="147">
        <v>2</v>
      </c>
      <c r="C41" s="7" t="s">
        <v>276</v>
      </c>
      <c r="D41" s="7">
        <v>6</v>
      </c>
      <c r="E41" s="68">
        <v>5000</v>
      </c>
      <c r="F41" s="69">
        <f>E41*D41</f>
        <v>30000</v>
      </c>
      <c r="G41" s="69">
        <f>Table3[[#This Row],[Total]]*5%</f>
        <v>1500</v>
      </c>
      <c r="H41" s="148">
        <f>Table3[[#This Row],[Total]]-Table3[[#This Row],[Discount]]</f>
        <v>28500</v>
      </c>
    </row>
    <row r="42" spans="2:11" x14ac:dyDescent="0.25">
      <c r="B42" s="147">
        <v>3</v>
      </c>
      <c r="C42" s="7" t="s">
        <v>328</v>
      </c>
      <c r="D42" s="7">
        <v>4</v>
      </c>
      <c r="E42" s="68">
        <v>25000</v>
      </c>
      <c r="F42" s="69">
        <f t="shared" ref="F42:F46" si="4">E42*D42</f>
        <v>100000</v>
      </c>
      <c r="G42" s="69">
        <f>Table3[[#This Row],[Total]]*5%</f>
        <v>5000</v>
      </c>
      <c r="H42" s="148">
        <f>Table3[[#This Row],[Total]]-Table3[[#This Row],[Discount]]</f>
        <v>95000</v>
      </c>
    </row>
    <row r="43" spans="2:11" x14ac:dyDescent="0.25">
      <c r="B43" s="147">
        <v>4</v>
      </c>
      <c r="C43" s="7" t="s">
        <v>329</v>
      </c>
      <c r="D43" s="7">
        <v>2</v>
      </c>
      <c r="E43" s="68">
        <v>8000</v>
      </c>
      <c r="F43" s="69">
        <f t="shared" si="4"/>
        <v>16000</v>
      </c>
      <c r="G43" s="69">
        <f>Table3[[#This Row],[Total]]*5%</f>
        <v>800</v>
      </c>
      <c r="H43" s="148">
        <f>Table3[[#This Row],[Total]]-Table3[[#This Row],[Discount]]</f>
        <v>15200</v>
      </c>
    </row>
    <row r="44" spans="2:11" x14ac:dyDescent="0.25">
      <c r="B44" s="147">
        <v>5</v>
      </c>
      <c r="C44" s="7" t="s">
        <v>212</v>
      </c>
      <c r="D44" s="7">
        <v>10</v>
      </c>
      <c r="E44" s="68">
        <v>500</v>
      </c>
      <c r="F44" s="69">
        <f t="shared" si="4"/>
        <v>5000</v>
      </c>
      <c r="G44" s="69">
        <f>Table3[[#This Row],[Total]]*5%</f>
        <v>250</v>
      </c>
      <c r="H44" s="148">
        <f>Table3[[#This Row],[Total]]-Table3[[#This Row],[Discount]]</f>
        <v>4750</v>
      </c>
    </row>
    <row r="45" spans="2:11" x14ac:dyDescent="0.25">
      <c r="B45" s="147">
        <v>6</v>
      </c>
      <c r="C45" s="7" t="s">
        <v>209</v>
      </c>
      <c r="D45" s="7">
        <v>20</v>
      </c>
      <c r="E45" s="68">
        <v>200</v>
      </c>
      <c r="F45" s="69">
        <f t="shared" si="4"/>
        <v>4000</v>
      </c>
      <c r="G45" s="69">
        <f>Table3[[#This Row],[Total]]*5%</f>
        <v>200</v>
      </c>
      <c r="H45" s="148">
        <f>Table3[[#This Row],[Total]]-Table3[[#This Row],[Discount]]</f>
        <v>3800</v>
      </c>
    </row>
    <row r="46" spans="2:11" x14ac:dyDescent="0.25">
      <c r="B46" s="149">
        <v>7</v>
      </c>
      <c r="C46" s="150" t="s">
        <v>278</v>
      </c>
      <c r="D46" s="150">
        <v>40</v>
      </c>
      <c r="E46" s="151">
        <v>800</v>
      </c>
      <c r="F46" s="69">
        <f t="shared" si="4"/>
        <v>32000</v>
      </c>
      <c r="G46" s="69">
        <f>Table3[[#This Row],[Total]]*5%</f>
        <v>1600</v>
      </c>
      <c r="H46" s="148">
        <f>Table3[[#This Row],[Total]]-Table3[[#This Row],[Discount]]</f>
        <v>30400</v>
      </c>
    </row>
    <row r="47" spans="2:11" x14ac:dyDescent="0.25">
      <c r="B47" s="149"/>
      <c r="C47" s="150"/>
      <c r="D47" s="150"/>
      <c r="E47" s="151"/>
      <c r="F47" s="189">
        <f>SUM(Table3[Total])</f>
        <v>204500</v>
      </c>
      <c r="G47" s="189">
        <f>SUM(Table3[Discount])</f>
        <v>10225</v>
      </c>
      <c r="H47" s="189">
        <f>SUM(Table3[Paybale])</f>
        <v>194275</v>
      </c>
    </row>
    <row r="48" spans="2:11" x14ac:dyDescent="0.25">
      <c r="C48">
        <f>COUNTA(Table3[Products])</f>
        <v>7</v>
      </c>
      <c r="E48">
        <f>MIN(Table3[Unit Price])</f>
        <v>200</v>
      </c>
      <c r="K48" t="s">
        <v>393</v>
      </c>
    </row>
    <row r="49" spans="1:14" x14ac:dyDescent="0.25">
      <c r="E49">
        <f>AVERAGE(Table3[Unit Price])</f>
        <v>6142.8571428571431</v>
      </c>
    </row>
    <row r="50" spans="1:14" x14ac:dyDescent="0.25">
      <c r="C50">
        <f>COUNTBLANK(Table3[Products])</f>
        <v>0</v>
      </c>
      <c r="D50">
        <f>SMALL(Table3[Quantity],5)</f>
        <v>10</v>
      </c>
    </row>
    <row r="51" spans="1:14" ht="15" customHeight="1" x14ac:dyDescent="0.25">
      <c r="D51">
        <f>LARGE(Table3[Quantity],1)</f>
        <v>40</v>
      </c>
      <c r="G51" s="79" t="s">
        <v>371</v>
      </c>
      <c r="H51" s="79" t="s">
        <v>326</v>
      </c>
      <c r="I51" s="79" t="s">
        <v>237</v>
      </c>
    </row>
    <row r="52" spans="1:14" ht="15" customHeight="1" x14ac:dyDescent="0.25">
      <c r="G52">
        <v>1</v>
      </c>
      <c r="H52" t="s">
        <v>347</v>
      </c>
      <c r="I52">
        <v>320</v>
      </c>
      <c r="K52" s="106"/>
    </row>
    <row r="53" spans="1:14" ht="16.5" customHeight="1" x14ac:dyDescent="0.25">
      <c r="G53">
        <v>2</v>
      </c>
      <c r="H53" t="s">
        <v>348</v>
      </c>
      <c r="I53">
        <v>310</v>
      </c>
      <c r="K53" s="107"/>
    </row>
    <row r="54" spans="1:14" ht="15" customHeight="1" x14ac:dyDescent="0.25">
      <c r="G54">
        <v>3</v>
      </c>
      <c r="H54" t="s">
        <v>349</v>
      </c>
      <c r="I54">
        <v>340</v>
      </c>
    </row>
    <row r="55" spans="1:14" ht="21.75" customHeight="1" x14ac:dyDescent="0.25">
      <c r="A55" s="219" t="s">
        <v>375</v>
      </c>
      <c r="B55" s="220"/>
      <c r="C55" s="220"/>
      <c r="D55" s="220"/>
      <c r="E55" s="221"/>
      <c r="F55" s="80"/>
      <c r="G55">
        <v>4</v>
      </c>
      <c r="H55" t="s">
        <v>350</v>
      </c>
      <c r="I55">
        <v>170</v>
      </c>
      <c r="K55" s="107"/>
    </row>
    <row r="56" spans="1:14" ht="15" customHeight="1" x14ac:dyDescent="0.25">
      <c r="A56" s="222" t="s">
        <v>374</v>
      </c>
      <c r="B56" s="223"/>
      <c r="C56" s="223"/>
      <c r="D56" s="223"/>
      <c r="E56" s="224"/>
      <c r="G56">
        <v>5</v>
      </c>
      <c r="H56" t="s">
        <v>351</v>
      </c>
      <c r="I56">
        <v>410</v>
      </c>
    </row>
    <row r="57" spans="1:14" ht="15" customHeight="1" x14ac:dyDescent="0.25">
      <c r="A57" s="225" t="s">
        <v>372</v>
      </c>
      <c r="B57" s="226"/>
      <c r="C57" s="226"/>
      <c r="D57" s="226"/>
      <c r="E57" s="227"/>
      <c r="G57">
        <v>6</v>
      </c>
      <c r="H57" t="s">
        <v>352</v>
      </c>
      <c r="I57">
        <v>350</v>
      </c>
    </row>
    <row r="58" spans="1:14" ht="18.75" customHeight="1" x14ac:dyDescent="0.25">
      <c r="A58" s="215" t="s">
        <v>373</v>
      </c>
      <c r="B58" s="216"/>
      <c r="C58" s="216"/>
      <c r="D58" s="216"/>
      <c r="E58" s="217"/>
      <c r="G58">
        <v>7</v>
      </c>
      <c r="H58" t="s">
        <v>353</v>
      </c>
      <c r="I58">
        <v>120</v>
      </c>
    </row>
    <row r="59" spans="1:14" ht="18.75" customHeight="1" x14ac:dyDescent="0.25">
      <c r="A59" s="111" t="s">
        <v>45</v>
      </c>
      <c r="B59" s="115">
        <f ca="1">IF(B60&lt;&gt;"",IF(B59="",NOW(),B59),"")</f>
        <v>45557.517432754626</v>
      </c>
      <c r="C59" s="38"/>
      <c r="D59" s="112" t="s">
        <v>345</v>
      </c>
      <c r="E59" s="116">
        <f ca="1">IF(B60&lt;&gt;"",IF(E59="",NOW(),E59),"")</f>
        <v>45557.517432754626</v>
      </c>
      <c r="G59">
        <v>8</v>
      </c>
      <c r="H59" t="s">
        <v>354</v>
      </c>
      <c r="I59">
        <v>170</v>
      </c>
    </row>
    <row r="60" spans="1:14" ht="18.75" customHeight="1" x14ac:dyDescent="0.25">
      <c r="A60" s="111" t="s">
        <v>344</v>
      </c>
      <c r="B60" s="117">
        <v>2</v>
      </c>
      <c r="C60" s="38"/>
      <c r="D60" s="112" t="s">
        <v>346</v>
      </c>
      <c r="E60" s="82" t="str">
        <f ca="1">LEFT(B59,3) &amp; "-" &amp; RIGHT(B60,2)</f>
        <v>455-2</v>
      </c>
      <c r="G60">
        <v>9</v>
      </c>
      <c r="H60" t="s">
        <v>356</v>
      </c>
      <c r="I60">
        <v>50</v>
      </c>
      <c r="M60" s="98"/>
      <c r="N60" s="99"/>
    </row>
    <row r="61" spans="1:14" x14ac:dyDescent="0.25">
      <c r="A61" s="83" t="s">
        <v>274</v>
      </c>
      <c r="B61" s="83" t="s">
        <v>326</v>
      </c>
      <c r="C61" s="83" t="s">
        <v>275</v>
      </c>
      <c r="D61" s="83" t="s">
        <v>237</v>
      </c>
      <c r="E61" s="83" t="s">
        <v>79</v>
      </c>
      <c r="G61">
        <v>10</v>
      </c>
      <c r="H61" t="s">
        <v>355</v>
      </c>
      <c r="I61">
        <v>145</v>
      </c>
      <c r="M61" s="98"/>
    </row>
    <row r="62" spans="1:14" ht="22.5" customHeight="1" x14ac:dyDescent="0.25">
      <c r="A62" s="84">
        <f>IF(ISBLANK(B62),"",MAX(A61:$A$61)+1)</f>
        <v>1</v>
      </c>
      <c r="B62" s="118" t="s">
        <v>349</v>
      </c>
      <c r="C62" s="119">
        <v>1</v>
      </c>
      <c r="D62" s="90">
        <f>IFERROR(VLOOKUP(B62,$H$51:$I$70,2,0),"")</f>
        <v>340</v>
      </c>
      <c r="E62" s="90">
        <f>IFERROR(C62*D62,0)</f>
        <v>340</v>
      </c>
      <c r="G62">
        <v>11</v>
      </c>
      <c r="H62" t="s">
        <v>357</v>
      </c>
      <c r="I62">
        <v>110</v>
      </c>
      <c r="M62" s="98"/>
    </row>
    <row r="63" spans="1:14" ht="22.5" customHeight="1" x14ac:dyDescent="0.25">
      <c r="A63" s="84" t="str">
        <f>IF(ISBLANK(B63),"",MAX(A$61:$A62)+1)</f>
        <v/>
      </c>
      <c r="B63" s="86"/>
      <c r="C63" s="88"/>
      <c r="D63" s="90" t="str">
        <f t="shared" ref="D63:D71" si="5">IFERROR(VLOOKUP(B63,$H$51:$I$70,2,0),"")</f>
        <v/>
      </c>
      <c r="E63" s="90">
        <f t="shared" ref="E63:E71" si="6">IFERROR(C63*D63,0)</f>
        <v>0</v>
      </c>
      <c r="G63">
        <v>12</v>
      </c>
      <c r="H63" t="s">
        <v>358</v>
      </c>
      <c r="I63">
        <v>20</v>
      </c>
      <c r="M63" s="98"/>
    </row>
    <row r="64" spans="1:14" ht="22.5" customHeight="1" x14ac:dyDescent="0.25">
      <c r="A64" s="84" t="str">
        <f>IF(ISBLANK(B64),"",MAX(A$61:$A63)+1)</f>
        <v/>
      </c>
      <c r="B64" s="86"/>
      <c r="C64" s="88"/>
      <c r="D64" s="90" t="str">
        <f t="shared" si="5"/>
        <v/>
      </c>
      <c r="E64" s="90">
        <f t="shared" si="6"/>
        <v>0</v>
      </c>
      <c r="G64">
        <v>13</v>
      </c>
      <c r="H64" t="s">
        <v>359</v>
      </c>
      <c r="I64">
        <v>70</v>
      </c>
      <c r="M64" s="98"/>
    </row>
    <row r="65" spans="1:13" ht="22.5" customHeight="1" x14ac:dyDescent="0.25">
      <c r="A65" s="84" t="str">
        <f>IF(ISBLANK(B65),"",MAX(A$61:$A64)+1)</f>
        <v/>
      </c>
      <c r="B65" s="86"/>
      <c r="C65" s="88"/>
      <c r="D65" s="90" t="str">
        <f t="shared" si="5"/>
        <v/>
      </c>
      <c r="E65" s="90">
        <f t="shared" si="6"/>
        <v>0</v>
      </c>
      <c r="G65">
        <v>14</v>
      </c>
      <c r="H65" t="s">
        <v>360</v>
      </c>
      <c r="I65">
        <v>60</v>
      </c>
      <c r="M65" s="98"/>
    </row>
    <row r="66" spans="1:13" ht="22.5" customHeight="1" x14ac:dyDescent="0.25">
      <c r="A66" s="84" t="str">
        <f>IF(ISBLANK(B66),"",MAX(A$61:$A65)+1)</f>
        <v/>
      </c>
      <c r="B66" s="86"/>
      <c r="C66" s="88"/>
      <c r="D66" s="90" t="str">
        <f t="shared" si="5"/>
        <v/>
      </c>
      <c r="E66" s="90">
        <f t="shared" si="6"/>
        <v>0</v>
      </c>
      <c r="G66">
        <v>15</v>
      </c>
      <c r="H66" t="s">
        <v>361</v>
      </c>
      <c r="I66">
        <v>120</v>
      </c>
      <c r="M66" s="98"/>
    </row>
    <row r="67" spans="1:13" ht="22.5" customHeight="1" x14ac:dyDescent="0.25">
      <c r="A67" s="84" t="str">
        <f>IF(ISBLANK(B67),"",MAX(A$61:$A66)+1)</f>
        <v/>
      </c>
      <c r="B67" s="86"/>
      <c r="C67" s="88"/>
      <c r="D67" s="90" t="str">
        <f t="shared" si="5"/>
        <v/>
      </c>
      <c r="E67" s="90">
        <f t="shared" si="6"/>
        <v>0</v>
      </c>
      <c r="G67">
        <v>16</v>
      </c>
      <c r="H67" t="s">
        <v>362</v>
      </c>
      <c r="I67">
        <v>160</v>
      </c>
      <c r="M67" s="98"/>
    </row>
    <row r="68" spans="1:13" ht="22.5" customHeight="1" x14ac:dyDescent="0.25">
      <c r="A68" s="84" t="str">
        <f>IF(ISBLANK(B68),"",MAX(A$61:$A67)+1)</f>
        <v/>
      </c>
      <c r="B68" s="86"/>
      <c r="C68" s="88"/>
      <c r="D68" s="90" t="str">
        <f t="shared" si="5"/>
        <v/>
      </c>
      <c r="E68" s="90">
        <f t="shared" si="6"/>
        <v>0</v>
      </c>
      <c r="G68">
        <v>17</v>
      </c>
      <c r="H68" t="s">
        <v>363</v>
      </c>
      <c r="I68">
        <v>240</v>
      </c>
    </row>
    <row r="69" spans="1:13" ht="22.5" customHeight="1" x14ac:dyDescent="0.25">
      <c r="A69" s="84" t="str">
        <f>IF(ISBLANK(B69),"",MAX(A$61:$A68)+1)</f>
        <v/>
      </c>
      <c r="B69" s="86"/>
      <c r="C69" s="88"/>
      <c r="D69" s="90" t="str">
        <f t="shared" si="5"/>
        <v/>
      </c>
      <c r="E69" s="90">
        <f t="shared" si="6"/>
        <v>0</v>
      </c>
      <c r="G69">
        <v>18</v>
      </c>
      <c r="H69" t="s">
        <v>364</v>
      </c>
      <c r="I69">
        <v>40</v>
      </c>
    </row>
    <row r="70" spans="1:13" ht="22.5" customHeight="1" x14ac:dyDescent="0.25">
      <c r="A70" s="84" t="str">
        <f>IF(ISBLANK(B70),"",MAX(A$61:$A69)+1)</f>
        <v/>
      </c>
      <c r="B70" s="86"/>
      <c r="C70" s="88"/>
      <c r="D70" s="90" t="str">
        <f t="shared" si="5"/>
        <v/>
      </c>
      <c r="E70" s="90">
        <f t="shared" si="6"/>
        <v>0</v>
      </c>
      <c r="G70">
        <v>19</v>
      </c>
      <c r="H70" t="s">
        <v>365</v>
      </c>
      <c r="I70">
        <v>100</v>
      </c>
    </row>
    <row r="71" spans="1:13" ht="22.5" customHeight="1" x14ac:dyDescent="0.25">
      <c r="A71" s="85" t="str">
        <f>IF(ISBLANK(B71),"",MAX(A$61:$A70)+1)</f>
        <v/>
      </c>
      <c r="B71" s="87"/>
      <c r="C71" s="89"/>
      <c r="D71" s="91" t="str">
        <f t="shared" si="5"/>
        <v/>
      </c>
      <c r="E71" s="91">
        <f t="shared" si="6"/>
        <v>0</v>
      </c>
    </row>
    <row r="72" spans="1:13" ht="15.75" x14ac:dyDescent="0.25">
      <c r="A72" s="92"/>
      <c r="C72" s="228" t="s">
        <v>376</v>
      </c>
      <c r="D72" s="228"/>
      <c r="E72" s="113">
        <f>SUM(E62:E71)</f>
        <v>340</v>
      </c>
    </row>
    <row r="73" spans="1:13" ht="15.75" x14ac:dyDescent="0.25">
      <c r="A73" s="92"/>
      <c r="C73" s="228" t="s">
        <v>327</v>
      </c>
      <c r="D73" s="228"/>
      <c r="E73" s="114"/>
      <c r="G73" t="str">
        <f ca="1">E60</f>
        <v>455-2</v>
      </c>
      <c r="H73" s="106">
        <f ca="1">B59</f>
        <v>45557.517432754626</v>
      </c>
      <c r="I73" s="107">
        <f>E72</f>
        <v>340</v>
      </c>
      <c r="J73">
        <f>E73</f>
        <v>0</v>
      </c>
      <c r="K73" s="107">
        <f>E74</f>
        <v>340</v>
      </c>
    </row>
    <row r="74" spans="1:13" ht="15.75" x14ac:dyDescent="0.25">
      <c r="A74" s="93"/>
      <c r="B74" s="94"/>
      <c r="C74" s="228" t="s">
        <v>343</v>
      </c>
      <c r="D74" s="228"/>
      <c r="E74" s="113">
        <f>E72-E72*E73%</f>
        <v>340</v>
      </c>
      <c r="K74" s="107"/>
    </row>
    <row r="75" spans="1:13" x14ac:dyDescent="0.25">
      <c r="G75" t="s">
        <v>398</v>
      </c>
      <c r="H75" s="108">
        <v>45557.505692939812</v>
      </c>
      <c r="I75" s="107">
        <v>680</v>
      </c>
      <c r="J75">
        <v>2</v>
      </c>
      <c r="K75" s="107">
        <v>666.4</v>
      </c>
    </row>
    <row r="76" spans="1:13" x14ac:dyDescent="0.25">
      <c r="A76" t="s">
        <v>366</v>
      </c>
      <c r="B76" t="s">
        <v>367</v>
      </c>
    </row>
    <row r="78" spans="1:13" x14ac:dyDescent="0.25">
      <c r="A78" s="218" t="s">
        <v>370</v>
      </c>
      <c r="B78" s="81" t="s">
        <v>368</v>
      </c>
    </row>
    <row r="79" spans="1:13" x14ac:dyDescent="0.25">
      <c r="A79" s="218"/>
      <c r="B79" s="81" t="s">
        <v>369</v>
      </c>
    </row>
  </sheetData>
  <customSheetViews>
    <customSheetView guid="{D6BA57A5-118E-4B58-A351-7E1C36DA5B56}" scale="110" topLeftCell="A61">
      <selection activeCell="G74" sqref="G74"/>
      <pageMargins left="0.7" right="0.7" top="0.75" bottom="0.75" header="0.3" footer="0.3"/>
      <pageSetup orientation="portrait" r:id="rId1"/>
    </customSheetView>
    <customSheetView guid="{05B8E57A-BB97-41F0-B6FB-606E79293C77}" scale="110" topLeftCell="A61">
      <selection activeCell="G74" sqref="G74"/>
      <pageMargins left="0.7" right="0.7" top="0.75" bottom="0.75" header="0.3" footer="0.3"/>
      <pageSetup orientation="portrait" r:id="rId2"/>
    </customSheetView>
  </customSheetViews>
  <mergeCells count="9">
    <mergeCell ref="B35:H38"/>
    <mergeCell ref="A58:E58"/>
    <mergeCell ref="A78:A79"/>
    <mergeCell ref="A55:E55"/>
    <mergeCell ref="A56:E56"/>
    <mergeCell ref="A57:E57"/>
    <mergeCell ref="C72:D72"/>
    <mergeCell ref="C73:D73"/>
    <mergeCell ref="C74:D74"/>
  </mergeCells>
  <dataValidations count="1">
    <dataValidation type="list" allowBlank="1" showInputMessage="1" showErrorMessage="1" sqref="B62:B71" xr:uid="{00000000-0002-0000-0000-000000000000}">
      <formula1>$H$52:$H$70</formula1>
    </dataValidation>
  </dataValidations>
  <pageMargins left="0.25" right="0.25" top="0.75" bottom="0.75" header="0.3" footer="0.3"/>
  <pageSetup paperSize="9" orientation="portrait" r:id="rId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8"/>
  <sheetViews>
    <sheetView workbookViewId="0">
      <selection activeCell="A2" sqref="A2"/>
    </sheetView>
  </sheetViews>
  <sheetFormatPr defaultRowHeight="15" x14ac:dyDescent="0.25"/>
  <cols>
    <col min="1" max="5" width="29.85546875" customWidth="1"/>
    <col min="9" max="9" width="48" bestFit="1" customWidth="1"/>
  </cols>
  <sheetData>
    <row r="1" spans="1:9" ht="18.75" x14ac:dyDescent="0.25">
      <c r="A1" s="103" t="s">
        <v>377</v>
      </c>
      <c r="B1" s="103" t="s">
        <v>45</v>
      </c>
      <c r="C1" s="103" t="s">
        <v>79</v>
      </c>
      <c r="D1" s="103" t="s">
        <v>327</v>
      </c>
      <c r="E1" s="103" t="s">
        <v>376</v>
      </c>
      <c r="I1" t="s">
        <v>378</v>
      </c>
    </row>
    <row r="2" spans="1:9" ht="18.75" x14ac:dyDescent="0.25">
      <c r="A2" s="104" t="s">
        <v>398</v>
      </c>
      <c r="B2" s="109">
        <v>45557.505692939812</v>
      </c>
      <c r="C2" s="110">
        <v>680</v>
      </c>
      <c r="D2" s="104">
        <v>2</v>
      </c>
      <c r="E2" s="110">
        <v>666.4</v>
      </c>
    </row>
    <row r="3" spans="1:9" ht="18.75" x14ac:dyDescent="0.25">
      <c r="A3" s="104" t="s">
        <v>398</v>
      </c>
      <c r="B3" s="109">
        <v>45557.505692939812</v>
      </c>
      <c r="C3" s="110">
        <v>680</v>
      </c>
      <c r="D3" s="104">
        <v>2</v>
      </c>
      <c r="E3" s="110">
        <v>666.4</v>
      </c>
    </row>
    <row r="4" spans="1:9" ht="18.75" x14ac:dyDescent="0.25">
      <c r="A4" s="104" t="s">
        <v>397</v>
      </c>
      <c r="B4" s="109">
        <v>45557.502006828705</v>
      </c>
      <c r="C4" s="110">
        <v>120</v>
      </c>
      <c r="D4" s="104">
        <v>0</v>
      </c>
      <c r="E4" s="110">
        <v>120</v>
      </c>
    </row>
    <row r="5" spans="1:9" ht="18.75" x14ac:dyDescent="0.25">
      <c r="A5" s="104" t="s">
        <v>396</v>
      </c>
      <c r="B5" s="109">
        <v>45557.501524305553</v>
      </c>
      <c r="C5" s="110">
        <v>0</v>
      </c>
      <c r="D5" s="104">
        <v>0</v>
      </c>
      <c r="E5" s="110">
        <v>0</v>
      </c>
    </row>
    <row r="6" spans="1:9" ht="18.75" x14ac:dyDescent="0.25">
      <c r="A6" s="104" t="s">
        <v>395</v>
      </c>
      <c r="B6" s="109">
        <v>45557.500688425927</v>
      </c>
      <c r="C6" s="110">
        <v>300</v>
      </c>
      <c r="D6" s="104">
        <v>2</v>
      </c>
      <c r="E6" s="110">
        <v>294</v>
      </c>
    </row>
    <row r="7" spans="1:9" ht="18.75" x14ac:dyDescent="0.25">
      <c r="A7" s="104" t="s">
        <v>394</v>
      </c>
      <c r="B7" s="109">
        <v>45556.827083564815</v>
      </c>
      <c r="C7" s="110">
        <v>4190</v>
      </c>
      <c r="D7" s="104">
        <v>5</v>
      </c>
      <c r="E7" s="110">
        <v>3980.5</v>
      </c>
    </row>
    <row r="8" spans="1:9" ht="18.75" x14ac:dyDescent="0.25">
      <c r="A8" s="104">
        <v>1</v>
      </c>
      <c r="B8" s="105">
        <v>45556</v>
      </c>
      <c r="C8" s="104">
        <v>400</v>
      </c>
      <c r="D8" s="104">
        <v>5</v>
      </c>
      <c r="E8" s="104">
        <v>380</v>
      </c>
    </row>
    <row r="9" spans="1:9" ht="18.75" x14ac:dyDescent="0.25">
      <c r="A9" s="104"/>
      <c r="B9" s="104"/>
      <c r="C9" s="104"/>
      <c r="D9" s="104"/>
      <c r="E9" s="104"/>
    </row>
    <row r="10" spans="1:9" ht="18.75" x14ac:dyDescent="0.25">
      <c r="A10" s="104"/>
      <c r="B10" s="104"/>
      <c r="C10" s="104"/>
      <c r="D10" s="104"/>
      <c r="E10" s="104"/>
    </row>
    <row r="11" spans="1:9" ht="18.75" x14ac:dyDescent="0.25">
      <c r="A11" s="104"/>
      <c r="B11" s="104"/>
      <c r="C11" s="104"/>
      <c r="D11" s="104"/>
      <c r="E11" s="104"/>
    </row>
    <row r="12" spans="1:9" ht="18.75" x14ac:dyDescent="0.25">
      <c r="A12" s="104"/>
      <c r="B12" s="104"/>
      <c r="C12" s="104"/>
      <c r="D12" s="104"/>
      <c r="E12" s="104"/>
    </row>
    <row r="13" spans="1:9" ht="18.75" x14ac:dyDescent="0.25">
      <c r="A13" s="104"/>
      <c r="B13" s="104"/>
      <c r="C13" s="104"/>
      <c r="D13" s="104"/>
      <c r="E13" s="104"/>
    </row>
    <row r="14" spans="1:9" ht="18.75" x14ac:dyDescent="0.25">
      <c r="A14" s="104"/>
      <c r="B14" s="104"/>
      <c r="C14" s="104"/>
      <c r="D14" s="104"/>
      <c r="E14" s="104"/>
    </row>
    <row r="15" spans="1:9" ht="18.75" x14ac:dyDescent="0.25">
      <c r="A15" s="104"/>
      <c r="B15" s="104"/>
      <c r="C15" s="104"/>
      <c r="D15" s="104"/>
      <c r="E15" s="104"/>
    </row>
    <row r="16" spans="1:9" ht="18.75" x14ac:dyDescent="0.25">
      <c r="A16" s="104"/>
      <c r="B16" s="104"/>
      <c r="C16" s="104"/>
      <c r="D16" s="104"/>
      <c r="E16" s="104"/>
    </row>
    <row r="17" spans="1:5" ht="18.75" x14ac:dyDescent="0.25">
      <c r="A17" s="104"/>
      <c r="B17" s="104"/>
      <c r="C17" s="104"/>
      <c r="D17" s="104"/>
      <c r="E17" s="104"/>
    </row>
    <row r="18" spans="1:5" ht="18.75" x14ac:dyDescent="0.25">
      <c r="A18" s="104"/>
      <c r="B18" s="104"/>
      <c r="C18" s="104"/>
      <c r="D18" s="104"/>
      <c r="E18" s="104"/>
    </row>
    <row r="19" spans="1:5" ht="18.75" x14ac:dyDescent="0.25">
      <c r="A19" s="104"/>
      <c r="B19" s="104"/>
      <c r="C19" s="104"/>
      <c r="D19" s="104"/>
      <c r="E19" s="104"/>
    </row>
    <row r="20" spans="1:5" ht="18.75" x14ac:dyDescent="0.25">
      <c r="A20" s="104"/>
      <c r="B20" s="104"/>
      <c r="C20" s="104"/>
      <c r="D20" s="104"/>
      <c r="E20" s="104"/>
    </row>
    <row r="21" spans="1:5" ht="18.75" x14ac:dyDescent="0.25">
      <c r="A21" s="104"/>
      <c r="B21" s="104"/>
      <c r="C21" s="104"/>
      <c r="D21" s="104"/>
      <c r="E21" s="104"/>
    </row>
    <row r="22" spans="1:5" ht="18.75" x14ac:dyDescent="0.25">
      <c r="A22" s="104"/>
      <c r="B22" s="104"/>
      <c r="C22" s="104"/>
      <c r="D22" s="104"/>
      <c r="E22" s="104"/>
    </row>
    <row r="23" spans="1:5" ht="18.75" x14ac:dyDescent="0.25">
      <c r="A23" s="104"/>
      <c r="B23" s="104"/>
      <c r="C23" s="104"/>
      <c r="D23" s="104"/>
      <c r="E23" s="104"/>
    </row>
    <row r="24" spans="1:5" ht="18.75" x14ac:dyDescent="0.25">
      <c r="A24" s="104"/>
      <c r="B24" s="104"/>
      <c r="C24" s="104"/>
      <c r="D24" s="104"/>
      <c r="E24" s="104"/>
    </row>
    <row r="25" spans="1:5" ht="18.75" x14ac:dyDescent="0.25">
      <c r="A25" s="104"/>
      <c r="B25" s="104"/>
      <c r="C25" s="104"/>
      <c r="D25" s="104"/>
      <c r="E25" s="104"/>
    </row>
    <row r="26" spans="1:5" ht="18.75" x14ac:dyDescent="0.25">
      <c r="A26" s="104"/>
      <c r="B26" s="104"/>
      <c r="C26" s="104"/>
      <c r="D26" s="104"/>
      <c r="E26" s="104"/>
    </row>
    <row r="27" spans="1:5" ht="18.75" x14ac:dyDescent="0.25">
      <c r="A27" s="104"/>
      <c r="B27" s="104"/>
      <c r="C27" s="104"/>
      <c r="D27" s="104"/>
      <c r="E27" s="104"/>
    </row>
    <row r="28" spans="1:5" ht="18.75" x14ac:dyDescent="0.25">
      <c r="A28" s="104"/>
      <c r="B28" s="104"/>
      <c r="C28" s="104"/>
      <c r="D28" s="104"/>
      <c r="E28" s="104"/>
    </row>
    <row r="29" spans="1:5" ht="18.75" x14ac:dyDescent="0.25">
      <c r="A29" s="104"/>
      <c r="B29" s="104"/>
      <c r="C29" s="104"/>
      <c r="D29" s="104"/>
      <c r="E29" s="104"/>
    </row>
    <row r="30" spans="1:5" ht="18.75" x14ac:dyDescent="0.25">
      <c r="A30" s="104"/>
      <c r="B30" s="104"/>
      <c r="C30" s="104"/>
      <c r="D30" s="104"/>
      <c r="E30" s="104"/>
    </row>
    <row r="31" spans="1:5" ht="18.75" x14ac:dyDescent="0.25">
      <c r="A31" s="104"/>
      <c r="B31" s="104"/>
      <c r="C31" s="104"/>
      <c r="D31" s="104"/>
      <c r="E31" s="104"/>
    </row>
    <row r="32" spans="1:5" ht="18.75" x14ac:dyDescent="0.25">
      <c r="A32" s="104"/>
      <c r="B32" s="104"/>
      <c r="C32" s="104"/>
      <c r="D32" s="104"/>
      <c r="E32" s="104"/>
    </row>
    <row r="33" spans="1:5" ht="18.75" x14ac:dyDescent="0.25">
      <c r="A33" s="104"/>
      <c r="B33" s="104"/>
      <c r="C33" s="104"/>
      <c r="D33" s="104"/>
      <c r="E33" s="104"/>
    </row>
    <row r="34" spans="1:5" ht="18.75" x14ac:dyDescent="0.25">
      <c r="A34" s="104"/>
      <c r="B34" s="104"/>
      <c r="C34" s="104"/>
      <c r="D34" s="104"/>
      <c r="E34" s="104"/>
    </row>
    <row r="35" spans="1:5" ht="18.75" x14ac:dyDescent="0.25">
      <c r="A35" s="104"/>
      <c r="B35" s="104"/>
      <c r="C35" s="104"/>
      <c r="D35" s="104"/>
      <c r="E35" s="104"/>
    </row>
    <row r="36" spans="1:5" ht="18.75" x14ac:dyDescent="0.25">
      <c r="A36" s="104"/>
      <c r="B36" s="104"/>
      <c r="C36" s="104"/>
      <c r="D36" s="104"/>
      <c r="E36" s="104"/>
    </row>
    <row r="37" spans="1:5" ht="18.75" x14ac:dyDescent="0.25">
      <c r="A37" s="104"/>
      <c r="B37" s="104"/>
      <c r="C37" s="104"/>
      <c r="D37" s="104"/>
      <c r="E37" s="104"/>
    </row>
    <row r="38" spans="1:5" ht="18.75" x14ac:dyDescent="0.25">
      <c r="A38" s="104"/>
      <c r="B38" s="104"/>
      <c r="C38" s="104"/>
      <c r="D38" s="104"/>
      <c r="E38" s="10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76"/>
  <sheetViews>
    <sheetView topLeftCell="A21" zoomScaleNormal="100" workbookViewId="0">
      <selection activeCell="C29" sqref="C29"/>
    </sheetView>
  </sheetViews>
  <sheetFormatPr defaultRowHeight="15" x14ac:dyDescent="0.25"/>
  <cols>
    <col min="1" max="1" width="31.140625" customWidth="1"/>
    <col min="3" max="3" width="55.42578125" bestFit="1" customWidth="1"/>
    <col min="6" max="6" width="23.85546875" customWidth="1"/>
    <col min="7" max="7" width="17.140625" customWidth="1"/>
    <col min="8" max="8" width="18.42578125" customWidth="1"/>
    <col min="9" max="9" width="21" customWidth="1"/>
    <col min="10" max="10" width="19.5703125" customWidth="1"/>
    <col min="11" max="11" width="17.42578125" customWidth="1"/>
    <col min="12" max="12" width="11.7109375" customWidth="1"/>
    <col min="13" max="13" width="33.42578125" customWidth="1"/>
    <col min="14" max="14" width="25.85546875" customWidth="1"/>
  </cols>
  <sheetData>
    <row r="1" spans="1:11" x14ac:dyDescent="0.25">
      <c r="A1" s="33" t="s">
        <v>144</v>
      </c>
      <c r="B1" s="33" t="s">
        <v>9</v>
      </c>
    </row>
    <row r="2" spans="1:11" x14ac:dyDescent="0.25">
      <c r="A2" s="195" t="s">
        <v>132</v>
      </c>
      <c r="B2" s="34" t="s">
        <v>143</v>
      </c>
      <c r="F2" s="32" t="s">
        <v>170</v>
      </c>
    </row>
    <row r="3" spans="1:11" ht="46.5" x14ac:dyDescent="0.7">
      <c r="A3" s="195" t="s">
        <v>133</v>
      </c>
      <c r="B3" s="34" t="s">
        <v>143</v>
      </c>
      <c r="C3" s="200">
        <f>PRODUCT(2,3)</f>
        <v>6</v>
      </c>
    </row>
    <row r="4" spans="1:11" x14ac:dyDescent="0.25">
      <c r="A4" s="195" t="s">
        <v>134</v>
      </c>
      <c r="B4" s="34" t="s">
        <v>143</v>
      </c>
      <c r="F4" s="2" t="s">
        <v>166</v>
      </c>
      <c r="G4" s="2">
        <v>0</v>
      </c>
      <c r="H4" s="2">
        <v>30</v>
      </c>
      <c r="I4" s="2">
        <v>45</v>
      </c>
      <c r="J4" s="2">
        <v>60</v>
      </c>
      <c r="K4" s="2">
        <v>90</v>
      </c>
    </row>
    <row r="5" spans="1:11" ht="23.25" x14ac:dyDescent="0.35">
      <c r="A5" s="195" t="s">
        <v>135</v>
      </c>
      <c r="B5" s="34" t="s">
        <v>143</v>
      </c>
      <c r="C5" s="169">
        <f>950/1200*100</f>
        <v>79.166666666666657</v>
      </c>
      <c r="F5" s="2" t="s">
        <v>167</v>
      </c>
      <c r="G5" s="2">
        <f>SIN(G4)</f>
        <v>0</v>
      </c>
      <c r="H5" s="2">
        <f t="shared" ref="H5:K5" si="0">SIN(H4)</f>
        <v>-0.98803162409286183</v>
      </c>
      <c r="I5" s="2">
        <f t="shared" si="0"/>
        <v>0.85090352453411844</v>
      </c>
      <c r="J5" s="2">
        <f t="shared" si="0"/>
        <v>-0.30481062110221668</v>
      </c>
      <c r="K5" s="2">
        <f t="shared" si="0"/>
        <v>0.89399666360055785</v>
      </c>
    </row>
    <row r="6" spans="1:11" x14ac:dyDescent="0.25">
      <c r="A6" s="195" t="s">
        <v>136</v>
      </c>
      <c r="B6" s="34" t="s">
        <v>143</v>
      </c>
      <c r="F6" s="2" t="s">
        <v>168</v>
      </c>
      <c r="G6" s="2">
        <f>COS(G4)</f>
        <v>1</v>
      </c>
      <c r="H6" s="2">
        <f t="shared" ref="H6:K6" si="1">COS(H4)</f>
        <v>0.15425144988758405</v>
      </c>
      <c r="I6" s="2">
        <f t="shared" si="1"/>
        <v>0.52532198881772973</v>
      </c>
      <c r="J6" s="2">
        <f t="shared" si="1"/>
        <v>-0.95241298041515632</v>
      </c>
      <c r="K6" s="2">
        <f t="shared" si="1"/>
        <v>-0.44807361612917013</v>
      </c>
    </row>
    <row r="7" spans="1:11" x14ac:dyDescent="0.25">
      <c r="A7" s="195" t="s">
        <v>89</v>
      </c>
      <c r="B7" s="34" t="s">
        <v>143</v>
      </c>
      <c r="F7" s="2" t="s">
        <v>169</v>
      </c>
      <c r="G7" s="2">
        <f>TAN(G4)</f>
        <v>0</v>
      </c>
      <c r="H7" s="2">
        <f t="shared" ref="H7:K7" si="2">TAN(H4)</f>
        <v>-6.4053311966462756</v>
      </c>
      <c r="I7" s="2">
        <f t="shared" si="2"/>
        <v>1.6197751905438615</v>
      </c>
      <c r="J7" s="2">
        <f t="shared" si="2"/>
        <v>0.32004038937956297</v>
      </c>
      <c r="K7" s="2">
        <f t="shared" si="2"/>
        <v>-1.9952004122082421</v>
      </c>
    </row>
    <row r="8" spans="1:11" x14ac:dyDescent="0.25">
      <c r="A8" s="195" t="s">
        <v>90</v>
      </c>
      <c r="B8" s="34" t="s">
        <v>143</v>
      </c>
      <c r="F8" s="1"/>
      <c r="G8" s="1"/>
      <c r="H8" s="1"/>
      <c r="I8" s="1"/>
      <c r="J8" s="1"/>
      <c r="K8" s="1"/>
    </row>
    <row r="9" spans="1:11" x14ac:dyDescent="0.25">
      <c r="A9" s="195" t="s">
        <v>91</v>
      </c>
      <c r="B9" s="34" t="s">
        <v>143</v>
      </c>
      <c r="F9" s="1"/>
      <c r="G9" s="1"/>
      <c r="H9" s="1"/>
      <c r="I9" s="1"/>
      <c r="J9" s="1"/>
      <c r="K9" s="1"/>
    </row>
    <row r="10" spans="1:11" x14ac:dyDescent="0.25">
      <c r="A10" s="195" t="s">
        <v>137</v>
      </c>
      <c r="B10" s="34" t="s">
        <v>143</v>
      </c>
      <c r="C10">
        <v>22</v>
      </c>
      <c r="F10" s="1"/>
      <c r="G10" s="1"/>
      <c r="H10" s="1"/>
      <c r="I10" s="1"/>
      <c r="J10" s="1"/>
      <c r="K10" s="1"/>
    </row>
    <row r="11" spans="1:11" ht="26.25" x14ac:dyDescent="0.4">
      <c r="A11" s="171" t="s">
        <v>138</v>
      </c>
      <c r="B11" s="34" t="s">
        <v>143</v>
      </c>
      <c r="C11" s="170">
        <v>333</v>
      </c>
      <c r="F11" s="35" t="s">
        <v>115</v>
      </c>
      <c r="G11" s="1"/>
      <c r="H11" s="1"/>
      <c r="I11" s="1"/>
      <c r="J11" s="1"/>
      <c r="K11" s="1"/>
    </row>
    <row r="12" spans="1:11" ht="21" x14ac:dyDescent="0.35">
      <c r="A12" s="171" t="s">
        <v>139</v>
      </c>
      <c r="B12" s="34" t="s">
        <v>143</v>
      </c>
      <c r="F12" t="s">
        <v>521</v>
      </c>
      <c r="G12" s="120">
        <f>LEN(TRIM(F12))</f>
        <v>16</v>
      </c>
    </row>
    <row r="13" spans="1:11" x14ac:dyDescent="0.25">
      <c r="A13" s="195" t="s">
        <v>140</v>
      </c>
      <c r="B13" s="34" t="s">
        <v>143</v>
      </c>
      <c r="C13">
        <v>555</v>
      </c>
      <c r="F13" t="s">
        <v>171</v>
      </c>
      <c r="G13">
        <f t="shared" ref="G13:G14" si="3">LEN(F13)</f>
        <v>15</v>
      </c>
      <c r="I13" s="196">
        <v>0.70710678118654702</v>
      </c>
    </row>
    <row r="14" spans="1:11" x14ac:dyDescent="0.25">
      <c r="A14" s="195" t="s">
        <v>141</v>
      </c>
      <c r="B14" s="34" t="s">
        <v>143</v>
      </c>
      <c r="C14">
        <v>6666</v>
      </c>
      <c r="F14" t="s">
        <v>172</v>
      </c>
      <c r="G14">
        <f t="shared" si="3"/>
        <v>25</v>
      </c>
    </row>
    <row r="15" spans="1:11" x14ac:dyDescent="0.25">
      <c r="A15" s="195" t="s">
        <v>142</v>
      </c>
      <c r="B15" s="34" t="s">
        <v>143</v>
      </c>
      <c r="C15">
        <f>MAX(C10:C14)</f>
        <v>6666</v>
      </c>
      <c r="F15" s="36"/>
    </row>
    <row r="16" spans="1:11" x14ac:dyDescent="0.25">
      <c r="A16" s="195" t="s">
        <v>104</v>
      </c>
      <c r="B16" s="34" t="s">
        <v>143</v>
      </c>
      <c r="C16">
        <f>COUNTBLANK(C10:C15)</f>
        <v>1</v>
      </c>
      <c r="F16" s="32" t="s">
        <v>149</v>
      </c>
    </row>
    <row r="17" spans="1:10" x14ac:dyDescent="0.25">
      <c r="A17" s="195" t="s">
        <v>103</v>
      </c>
      <c r="B17" s="34" t="s">
        <v>143</v>
      </c>
      <c r="F17">
        <v>1</v>
      </c>
    </row>
    <row r="18" spans="1:10" x14ac:dyDescent="0.25">
      <c r="A18" s="195" t="s">
        <v>145</v>
      </c>
      <c r="B18" s="34" t="s">
        <v>143</v>
      </c>
      <c r="F18">
        <v>2</v>
      </c>
      <c r="J18">
        <f>SIN(45)/COS(45)</f>
        <v>1.6197751905438615</v>
      </c>
    </row>
    <row r="19" spans="1:10" ht="23.25" x14ac:dyDescent="0.35">
      <c r="A19" s="195" t="s">
        <v>146</v>
      </c>
      <c r="B19" s="34" t="s">
        <v>143</v>
      </c>
      <c r="F19">
        <v>2</v>
      </c>
      <c r="H19" s="169">
        <f>SIN(45)</f>
        <v>0.85090352453411844</v>
      </c>
    </row>
    <row r="20" spans="1:10" ht="23.25" x14ac:dyDescent="0.35">
      <c r="A20" s="195" t="s">
        <v>147</v>
      </c>
      <c r="B20" s="34" t="s">
        <v>143</v>
      </c>
      <c r="C20" s="53"/>
      <c r="F20">
        <v>44</v>
      </c>
      <c r="H20" s="169">
        <f>COS(45)</f>
        <v>0.52532198881772973</v>
      </c>
    </row>
    <row r="21" spans="1:10" ht="23.25" x14ac:dyDescent="0.35">
      <c r="A21" s="195" t="s">
        <v>148</v>
      </c>
      <c r="B21" s="34" t="s">
        <v>143</v>
      </c>
      <c r="F21">
        <v>6</v>
      </c>
      <c r="H21" s="169">
        <f>TAN(45)</f>
        <v>1.6197751905438615</v>
      </c>
    </row>
    <row r="22" spans="1:10" x14ac:dyDescent="0.25">
      <c r="A22" s="195" t="s">
        <v>159</v>
      </c>
      <c r="B22" s="34" t="s">
        <v>143</v>
      </c>
      <c r="F22">
        <v>6</v>
      </c>
    </row>
    <row r="23" spans="1:10" x14ac:dyDescent="0.25">
      <c r="A23" s="195" t="s">
        <v>149</v>
      </c>
      <c r="B23" s="34" t="s">
        <v>143</v>
      </c>
      <c r="C23" t="str">
        <f>TEXT(C20,"mm-dd-yy")</f>
        <v>01-00-00</v>
      </c>
    </row>
    <row r="24" spans="1:10" x14ac:dyDescent="0.25">
      <c r="A24" s="195" t="s">
        <v>150</v>
      </c>
      <c r="B24" s="34" t="s">
        <v>143</v>
      </c>
      <c r="F24" s="37">
        <f>LARGE(F17:F22, 3)</f>
        <v>6</v>
      </c>
    </row>
    <row r="25" spans="1:10" x14ac:dyDescent="0.25">
      <c r="A25" s="195" t="s">
        <v>151</v>
      </c>
      <c r="B25" s="34" t="s">
        <v>143</v>
      </c>
      <c r="C25" s="154">
        <f ca="1">NOW()</f>
        <v>45953.520532060182</v>
      </c>
    </row>
    <row r="26" spans="1:10" x14ac:dyDescent="0.25">
      <c r="A26" s="195" t="s">
        <v>152</v>
      </c>
      <c r="B26" s="34" t="s">
        <v>143</v>
      </c>
      <c r="F26" s="32" t="s">
        <v>173</v>
      </c>
      <c r="H26">
        <v>2</v>
      </c>
    </row>
    <row r="27" spans="1:10" x14ac:dyDescent="0.25">
      <c r="A27" s="195" t="s">
        <v>153</v>
      </c>
      <c r="B27" s="34" t="s">
        <v>143</v>
      </c>
      <c r="C27">
        <f>FACT(4)</f>
        <v>24</v>
      </c>
      <c r="F27">
        <v>2</v>
      </c>
      <c r="H27">
        <v>1</v>
      </c>
    </row>
    <row r="28" spans="1:10" x14ac:dyDescent="0.25">
      <c r="A28" s="195" t="s">
        <v>154</v>
      </c>
      <c r="B28" s="34" t="s">
        <v>143</v>
      </c>
      <c r="F28">
        <v>1</v>
      </c>
      <c r="H28">
        <v>7</v>
      </c>
    </row>
    <row r="29" spans="1:10" x14ac:dyDescent="0.25">
      <c r="A29" s="195" t="s">
        <v>155</v>
      </c>
      <c r="B29" s="34" t="s">
        <v>143</v>
      </c>
      <c r="C29">
        <f>SQRT(4)</f>
        <v>2</v>
      </c>
      <c r="F29">
        <v>4</v>
      </c>
      <c r="H29">
        <v>8</v>
      </c>
    </row>
    <row r="30" spans="1:10" x14ac:dyDescent="0.25">
      <c r="A30" s="195" t="s">
        <v>156</v>
      </c>
      <c r="B30" s="34"/>
      <c r="C30">
        <f ca="1">10+(20-10)*RAND()</f>
        <v>12.117027751319958</v>
      </c>
      <c r="F30">
        <v>2</v>
      </c>
      <c r="H30">
        <v>2</v>
      </c>
    </row>
    <row r="31" spans="1:10" ht="31.5" x14ac:dyDescent="0.5">
      <c r="A31" s="195" t="s">
        <v>157</v>
      </c>
      <c r="B31" s="34" t="s">
        <v>143</v>
      </c>
      <c r="F31">
        <v>2</v>
      </c>
      <c r="H31" s="199">
        <f>SMALL(H26:H30,1)</f>
        <v>1</v>
      </c>
    </row>
    <row r="32" spans="1:10" x14ac:dyDescent="0.25">
      <c r="A32" s="195" t="s">
        <v>480</v>
      </c>
      <c r="B32" s="34"/>
      <c r="C32">
        <f ca="1">RAND()</f>
        <v>0.22753677454664678</v>
      </c>
    </row>
    <row r="33" spans="1:8" x14ac:dyDescent="0.25">
      <c r="A33" s="195" t="s">
        <v>158</v>
      </c>
      <c r="B33" s="34" t="s">
        <v>143</v>
      </c>
      <c r="F33">
        <v>9</v>
      </c>
    </row>
    <row r="34" spans="1:8" x14ac:dyDescent="0.25">
      <c r="A34" s="2" t="s">
        <v>160</v>
      </c>
      <c r="B34" s="34"/>
      <c r="F34" s="37">
        <f>SMALL(F27:F33, 4)</f>
        <v>2</v>
      </c>
    </row>
    <row r="35" spans="1:8" x14ac:dyDescent="0.25">
      <c r="A35" s="2" t="s">
        <v>161</v>
      </c>
      <c r="B35" s="34"/>
      <c r="C35" t="str">
        <f>LOWER("PEARL")</f>
        <v>pearl</v>
      </c>
    </row>
    <row r="36" spans="1:8" x14ac:dyDescent="0.25">
      <c r="A36" s="2" t="s">
        <v>162</v>
      </c>
      <c r="B36" s="34"/>
      <c r="F36" s="32" t="s">
        <v>150</v>
      </c>
    </row>
    <row r="37" spans="1:8" ht="30" x14ac:dyDescent="0.25">
      <c r="A37" s="195" t="s">
        <v>163</v>
      </c>
      <c r="B37" s="34"/>
      <c r="C37" s="36" t="str">
        <f>UPPER("pearl Institute of Management and Information Technology")</f>
        <v>PEARL INSTITUTE OF MANAGEMENT AND INFORMATION TECHNOLOGY</v>
      </c>
      <c r="E37" s="1">
        <v>1</v>
      </c>
      <c r="F37" s="1">
        <f>POWER(E37, 5)</f>
        <v>1</v>
      </c>
      <c r="H37">
        <f>POWER(2,4)</f>
        <v>16</v>
      </c>
    </row>
    <row r="38" spans="1:8" x14ac:dyDescent="0.25">
      <c r="A38" s="195" t="s">
        <v>164</v>
      </c>
      <c r="B38" s="34"/>
      <c r="E38" s="1">
        <v>2</v>
      </c>
      <c r="F38" s="1">
        <f>POWER(E38, 5)</f>
        <v>32</v>
      </c>
    </row>
    <row r="39" spans="1:8" x14ac:dyDescent="0.25">
      <c r="A39" s="195" t="s">
        <v>165</v>
      </c>
      <c r="B39" s="34" t="s">
        <v>143</v>
      </c>
      <c r="C39" t="str">
        <f>PROPER(C37)</f>
        <v>Pearl Institute Of Management And Information Technology</v>
      </c>
      <c r="E39" s="1">
        <v>3</v>
      </c>
      <c r="F39" s="1">
        <f>POWER(E39, 5)</f>
        <v>243</v>
      </c>
    </row>
    <row r="40" spans="1:8" x14ac:dyDescent="0.25">
      <c r="A40" s="197" t="s">
        <v>481</v>
      </c>
      <c r="B40" s="95"/>
      <c r="E40" s="1">
        <v>4</v>
      </c>
      <c r="F40" s="1">
        <f>POWER(E40, 5)</f>
        <v>1024</v>
      </c>
    </row>
    <row r="41" spans="1:8" x14ac:dyDescent="0.25">
      <c r="A41" s="194" t="s">
        <v>522</v>
      </c>
      <c r="B41" s="1"/>
      <c r="C41" t="str">
        <f>UPPER(C37)</f>
        <v>PEARL INSTITUTE OF MANAGEMENT AND INFORMATION TECHNOLOGY</v>
      </c>
      <c r="E41" s="1">
        <v>5</v>
      </c>
      <c r="F41" s="1">
        <f t="shared" ref="F41:F46" si="4">POWER(E41, 5)</f>
        <v>3125</v>
      </c>
    </row>
    <row r="42" spans="1:8" x14ac:dyDescent="0.25">
      <c r="A42" s="1"/>
      <c r="B42" s="1"/>
      <c r="E42" s="1">
        <v>6</v>
      </c>
      <c r="F42" s="1">
        <f t="shared" si="4"/>
        <v>7776</v>
      </c>
    </row>
    <row r="43" spans="1:8" x14ac:dyDescent="0.25">
      <c r="A43" s="1"/>
      <c r="B43" s="1"/>
      <c r="C43" t="str">
        <f>LOWER(C37)</f>
        <v>pearl institute of management and information technology</v>
      </c>
      <c r="E43" s="1">
        <v>7</v>
      </c>
      <c r="F43" s="1">
        <f t="shared" si="4"/>
        <v>16807</v>
      </c>
    </row>
    <row r="44" spans="1:8" x14ac:dyDescent="0.25">
      <c r="A44" s="1"/>
      <c r="B44" s="1"/>
      <c r="E44" s="1">
        <v>8</v>
      </c>
      <c r="F44" s="1">
        <f t="shared" si="4"/>
        <v>32768</v>
      </c>
    </row>
    <row r="45" spans="1:8" x14ac:dyDescent="0.25">
      <c r="A45" s="1"/>
      <c r="B45" s="1"/>
      <c r="E45" s="1">
        <v>9</v>
      </c>
      <c r="F45" s="1">
        <f t="shared" si="4"/>
        <v>59049</v>
      </c>
    </row>
    <row r="46" spans="1:8" x14ac:dyDescent="0.25">
      <c r="A46" s="1"/>
      <c r="B46" s="1"/>
      <c r="E46" s="1">
        <v>10</v>
      </c>
      <c r="F46" s="1">
        <f t="shared" si="4"/>
        <v>100000</v>
      </c>
    </row>
    <row r="47" spans="1:8" x14ac:dyDescent="0.25">
      <c r="A47" s="1"/>
      <c r="B47" s="1"/>
    </row>
    <row r="48" spans="1:8" x14ac:dyDescent="0.25">
      <c r="A48" s="1"/>
      <c r="B48" s="1"/>
      <c r="F48" s="32" t="s">
        <v>174</v>
      </c>
    </row>
    <row r="49" spans="1:14" x14ac:dyDescent="0.25">
      <c r="A49" s="1"/>
      <c r="B49" s="1"/>
      <c r="E49" s="1">
        <v>1</v>
      </c>
      <c r="F49">
        <f>SQRT(E49)</f>
        <v>1</v>
      </c>
    </row>
    <row r="50" spans="1:14" x14ac:dyDescent="0.25">
      <c r="A50" s="96" t="s">
        <v>0</v>
      </c>
      <c r="B50" s="96" t="s">
        <v>379</v>
      </c>
      <c r="E50" s="1">
        <v>4</v>
      </c>
      <c r="F50">
        <f t="shared" ref="F50:F53" si="5">SQRT(E50)</f>
        <v>2</v>
      </c>
      <c r="H50" s="39"/>
      <c r="I50" s="39"/>
    </row>
    <row r="51" spans="1:14" x14ac:dyDescent="0.25">
      <c r="A51" s="2" t="s">
        <v>380</v>
      </c>
      <c r="B51" s="97" t="s">
        <v>389</v>
      </c>
      <c r="E51" s="1">
        <v>9</v>
      </c>
      <c r="F51">
        <f t="shared" si="5"/>
        <v>3</v>
      </c>
      <c r="H51" s="39" t="s">
        <v>182</v>
      </c>
      <c r="I51" s="39" t="s">
        <v>185</v>
      </c>
    </row>
    <row r="52" spans="1:14" x14ac:dyDescent="0.25">
      <c r="A52" s="2" t="s">
        <v>382</v>
      </c>
      <c r="B52" s="97"/>
      <c r="E52" s="1">
        <v>16</v>
      </c>
      <c r="F52">
        <f t="shared" si="5"/>
        <v>4</v>
      </c>
      <c r="H52" s="39" t="s">
        <v>183</v>
      </c>
      <c r="I52" s="39" t="s">
        <v>186</v>
      </c>
    </row>
    <row r="53" spans="1:14" ht="26.25" x14ac:dyDescent="0.4">
      <c r="A53" s="2" t="s">
        <v>381</v>
      </c>
      <c r="B53" s="97"/>
      <c r="E53" s="1">
        <v>400</v>
      </c>
      <c r="F53">
        <f t="shared" si="5"/>
        <v>20</v>
      </c>
      <c r="H53" s="39" t="s">
        <v>184</v>
      </c>
      <c r="I53" s="39" t="s">
        <v>114</v>
      </c>
      <c r="M53" s="198" t="s">
        <v>536</v>
      </c>
      <c r="N53" s="170" t="str">
        <f>TRIM(M53)</f>
        <v>Ali Nasar</v>
      </c>
    </row>
    <row r="54" spans="1:14" x14ac:dyDescent="0.25">
      <c r="A54" s="2" t="s">
        <v>383</v>
      </c>
      <c r="B54" s="97"/>
      <c r="H54" s="39" t="s">
        <v>187</v>
      </c>
      <c r="I54" s="39" t="s">
        <v>176</v>
      </c>
      <c r="M54" s="198" t="s">
        <v>537</v>
      </c>
    </row>
    <row r="55" spans="1:14" x14ac:dyDescent="0.25">
      <c r="A55" s="2" t="s">
        <v>384</v>
      </c>
      <c r="B55" s="97"/>
      <c r="F55" s="32" t="s">
        <v>190</v>
      </c>
      <c r="H55" s="39" t="s">
        <v>188</v>
      </c>
      <c r="I55" s="39" t="s">
        <v>189</v>
      </c>
      <c r="M55" t="s">
        <v>538</v>
      </c>
    </row>
    <row r="56" spans="1:14" x14ac:dyDescent="0.25">
      <c r="A56" s="2" t="s">
        <v>385</v>
      </c>
      <c r="B56" s="97"/>
      <c r="E56" s="38">
        <v>1</v>
      </c>
      <c r="F56" s="38">
        <f t="shared" ref="F56:F65" si="6">FACT(E56)</f>
        <v>1</v>
      </c>
      <c r="H56" s="39"/>
      <c r="I56" s="39"/>
    </row>
    <row r="57" spans="1:14" x14ac:dyDescent="0.25">
      <c r="A57" s="2" t="s">
        <v>13</v>
      </c>
      <c r="B57" s="97"/>
      <c r="E57" s="38">
        <v>2</v>
      </c>
      <c r="F57" s="38">
        <f t="shared" si="6"/>
        <v>2</v>
      </c>
    </row>
    <row r="58" spans="1:14" x14ac:dyDescent="0.25">
      <c r="A58" s="2" t="s">
        <v>386</v>
      </c>
      <c r="B58" s="97"/>
      <c r="E58" s="38">
        <v>3</v>
      </c>
      <c r="F58" s="38">
        <f>FACT(E58)</f>
        <v>6</v>
      </c>
    </row>
    <row r="59" spans="1:14" x14ac:dyDescent="0.25">
      <c r="A59" s="2" t="s">
        <v>387</v>
      </c>
      <c r="B59" s="97"/>
      <c r="E59" s="38">
        <v>4</v>
      </c>
      <c r="F59" s="38">
        <f t="shared" si="6"/>
        <v>24</v>
      </c>
      <c r="G59" s="40" t="s">
        <v>175</v>
      </c>
      <c r="H59" s="40" t="s">
        <v>113</v>
      </c>
      <c r="I59" s="40" t="s">
        <v>114</v>
      </c>
      <c r="J59" s="40" t="s">
        <v>176</v>
      </c>
      <c r="K59" s="40" t="s">
        <v>177</v>
      </c>
      <c r="L59" s="40" t="s">
        <v>115</v>
      </c>
    </row>
    <row r="60" spans="1:14" x14ac:dyDescent="0.25">
      <c r="A60" s="2" t="s">
        <v>388</v>
      </c>
      <c r="B60" s="97"/>
      <c r="E60" s="38">
        <v>5</v>
      </c>
      <c r="F60" s="38">
        <f t="shared" si="6"/>
        <v>120</v>
      </c>
      <c r="G60" s="38" t="s">
        <v>179</v>
      </c>
      <c r="H60" s="38" t="str">
        <f>PROPER(G60)</f>
        <v xml:space="preserve">        Hamid Shah  </v>
      </c>
      <c r="I60" s="38" t="str">
        <f>LOWER(G60)</f>
        <v xml:space="preserve">        hamid shah  </v>
      </c>
      <c r="J60" s="38" t="str">
        <f>UPPER(G60)</f>
        <v xml:space="preserve">        HAMID SHAH  </v>
      </c>
      <c r="K60" s="38" t="str">
        <f>TRIM(H60)</f>
        <v>Hamid Shah</v>
      </c>
      <c r="L60">
        <f>LEN(K60)</f>
        <v>10</v>
      </c>
    </row>
    <row r="61" spans="1:14" x14ac:dyDescent="0.25">
      <c r="A61" s="2" t="s">
        <v>380</v>
      </c>
      <c r="B61" s="97"/>
      <c r="E61" s="38">
        <v>6</v>
      </c>
      <c r="F61" s="38">
        <f t="shared" si="6"/>
        <v>720</v>
      </c>
      <c r="G61" s="38" t="s">
        <v>178</v>
      </c>
      <c r="H61" s="38" t="str">
        <f t="shared" ref="H61:H63" si="7">PROPER(G61)</f>
        <v xml:space="preserve">Mohsin   Shah   </v>
      </c>
      <c r="I61" s="38" t="str">
        <f t="shared" ref="I61:I63" si="8">LOWER(G61)</f>
        <v xml:space="preserve">mohsin   shah   </v>
      </c>
      <c r="J61" s="38" t="str">
        <f t="shared" ref="J61:J63" si="9">UPPER(G61)</f>
        <v xml:space="preserve">MOHSIN   SHAH   </v>
      </c>
      <c r="K61" s="38" t="str">
        <f t="shared" ref="K61:K63" si="10">TRIM(H61)</f>
        <v>Mohsin Shah</v>
      </c>
      <c r="L61">
        <f t="shared" ref="L61:L63" si="11">LEN(K61)</f>
        <v>11</v>
      </c>
    </row>
    <row r="62" spans="1:14" x14ac:dyDescent="0.25">
      <c r="A62" s="2" t="s">
        <v>382</v>
      </c>
      <c r="B62" s="97"/>
      <c r="E62" s="38">
        <v>7</v>
      </c>
      <c r="F62" s="38">
        <f t="shared" si="6"/>
        <v>5040</v>
      </c>
      <c r="G62" s="38" t="s">
        <v>180</v>
      </c>
      <c r="H62" s="38" t="str">
        <f t="shared" si="7"/>
        <v xml:space="preserve">Ahmed Khan  </v>
      </c>
      <c r="I62" s="38" t="str">
        <f t="shared" si="8"/>
        <v xml:space="preserve">ahmed khan  </v>
      </c>
      <c r="J62" s="38" t="str">
        <f t="shared" si="9"/>
        <v xml:space="preserve">AHMED KHAN  </v>
      </c>
      <c r="K62" s="38" t="str">
        <f t="shared" si="10"/>
        <v>Ahmed Khan</v>
      </c>
      <c r="L62">
        <f t="shared" si="11"/>
        <v>10</v>
      </c>
    </row>
    <row r="63" spans="1:14" x14ac:dyDescent="0.25">
      <c r="A63" s="2" t="s">
        <v>381</v>
      </c>
      <c r="B63" s="97"/>
      <c r="E63" s="38">
        <v>8</v>
      </c>
      <c r="F63" s="38">
        <f t="shared" si="6"/>
        <v>40320</v>
      </c>
      <c r="G63" s="38" t="s">
        <v>181</v>
      </c>
      <c r="H63" s="38" t="str">
        <f t="shared" si="7"/>
        <v>Muhammad     Shah</v>
      </c>
      <c r="I63" s="38" t="str">
        <f t="shared" si="8"/>
        <v>muhammad     shah</v>
      </c>
      <c r="J63" s="38" t="str">
        <f t="shared" si="9"/>
        <v>MUHAMMAD     SHAH</v>
      </c>
      <c r="K63" s="38" t="str">
        <f t="shared" si="10"/>
        <v>Muhammad Shah</v>
      </c>
      <c r="L63">
        <f t="shared" si="11"/>
        <v>13</v>
      </c>
    </row>
    <row r="64" spans="1:14" x14ac:dyDescent="0.25">
      <c r="A64" s="2" t="s">
        <v>383</v>
      </c>
      <c r="B64" s="97"/>
      <c r="E64" s="38">
        <v>9</v>
      </c>
      <c r="F64" s="38">
        <f t="shared" si="6"/>
        <v>362880</v>
      </c>
      <c r="G64" s="38"/>
      <c r="H64" s="38"/>
      <c r="I64" s="38"/>
      <c r="J64" s="38"/>
      <c r="K64" s="38"/>
    </row>
    <row r="65" spans="1:11" x14ac:dyDescent="0.25">
      <c r="A65" s="2" t="s">
        <v>384</v>
      </c>
      <c r="B65" s="97"/>
      <c r="E65" s="38">
        <v>10</v>
      </c>
      <c r="F65" s="38">
        <f t="shared" si="6"/>
        <v>3628800</v>
      </c>
      <c r="G65" s="38"/>
      <c r="H65" s="38"/>
      <c r="I65" s="38"/>
      <c r="J65" s="38"/>
      <c r="K65" s="38"/>
    </row>
    <row r="66" spans="1:11" x14ac:dyDescent="0.25">
      <c r="A66" s="2" t="s">
        <v>385</v>
      </c>
      <c r="B66" s="97"/>
      <c r="E66" s="38">
        <v>11</v>
      </c>
      <c r="F66" s="38">
        <f t="shared" ref="F66:F72" si="12">FACT(E66)</f>
        <v>39916800</v>
      </c>
      <c r="G66" s="38"/>
      <c r="H66" s="38"/>
      <c r="I66" s="38"/>
      <c r="J66" s="38"/>
      <c r="K66" s="38"/>
    </row>
    <row r="67" spans="1:11" x14ac:dyDescent="0.25">
      <c r="A67" s="1"/>
      <c r="B67" s="1"/>
      <c r="E67" s="38">
        <v>12</v>
      </c>
      <c r="F67" s="38">
        <f t="shared" si="12"/>
        <v>479001600</v>
      </c>
    </row>
    <row r="68" spans="1:11" x14ac:dyDescent="0.25">
      <c r="A68" s="1"/>
      <c r="B68" s="1"/>
      <c r="E68" s="38">
        <v>13</v>
      </c>
      <c r="F68" s="38">
        <f t="shared" si="12"/>
        <v>6227020800</v>
      </c>
    </row>
    <row r="69" spans="1:11" x14ac:dyDescent="0.25">
      <c r="A69" s="1"/>
      <c r="B69" s="1"/>
      <c r="E69" s="38">
        <v>14</v>
      </c>
      <c r="F69" s="38">
        <f t="shared" si="12"/>
        <v>87178291200</v>
      </c>
    </row>
    <row r="70" spans="1:11" x14ac:dyDescent="0.25">
      <c r="A70" s="1"/>
      <c r="B70" s="1"/>
      <c r="E70" s="38">
        <v>15</v>
      </c>
      <c r="F70" s="38">
        <f t="shared" si="12"/>
        <v>1307674368000</v>
      </c>
    </row>
    <row r="71" spans="1:11" x14ac:dyDescent="0.25">
      <c r="A71" s="1"/>
      <c r="B71" s="1"/>
      <c r="E71" s="38">
        <v>16</v>
      </c>
      <c r="F71" s="38">
        <f t="shared" si="12"/>
        <v>20922789888000</v>
      </c>
    </row>
    <row r="72" spans="1:11" x14ac:dyDescent="0.25">
      <c r="A72" s="1"/>
      <c r="B72" s="1"/>
      <c r="E72" s="38">
        <v>17</v>
      </c>
      <c r="F72" s="38">
        <f t="shared" si="12"/>
        <v>355687428096000</v>
      </c>
    </row>
    <row r="73" spans="1:11" x14ac:dyDescent="0.25">
      <c r="A73" s="1"/>
      <c r="B73" s="1"/>
    </row>
    <row r="74" spans="1:11" x14ac:dyDescent="0.25">
      <c r="A74" s="1"/>
      <c r="B74" s="1"/>
    </row>
    <row r="75" spans="1:11" x14ac:dyDescent="0.25">
      <c r="A75" s="1"/>
      <c r="B75" s="1"/>
    </row>
    <row r="76" spans="1:11" x14ac:dyDescent="0.25">
      <c r="A76" s="1"/>
      <c r="B76" s="1"/>
    </row>
  </sheetData>
  <sheetProtection formatCells="0" formatColumns="0" formatRows="0" insertColumns="0" insertRows="0" insertHyperlinks="0" deleteColumns="0" deleteRows="0" sort="0" autoFilter="0" pivotTables="0"/>
  <customSheetViews>
    <customSheetView guid="{D6BA57A5-118E-4B58-A351-7E1C36DA5B56}">
      <selection activeCell="D18" sqref="D18"/>
      <pageMargins left="0.7" right="0.7" top="0.75" bottom="0.75" header="0.3" footer="0.3"/>
      <pageSetup orientation="portrait" r:id="rId1"/>
    </customSheetView>
    <customSheetView guid="{05B8E57A-BB97-41F0-B6FB-606E79293C77}">
      <selection activeCell="D18" sqref="D18"/>
      <pageMargins left="0.7" right="0.7" top="0.75" bottom="0.75" header="0.3" footer="0.3"/>
      <pageSetup orientation="portrait" r:id="rId2"/>
    </customSheetView>
    <customSheetView guid="{3C013989-8552-4FE1-BB7E-C88994E2D13D}">
      <selection activeCell="D18" sqref="D18"/>
      <pageMargins left="0.7" right="0.7" top="0.75" bottom="0.75" header="0.3" footer="0.3"/>
      <pageSetup orientation="portrait" r:id="rId3"/>
    </customSheetView>
    <customSheetView guid="{75B547B5-834C-4784-8C45-4C35B93C736F}">
      <selection activeCell="D18" sqref="D18"/>
      <pageMargins left="0.7" right="0.7" top="0.75" bottom="0.75" header="0.3" footer="0.3"/>
      <pageSetup orientation="portrait" r:id="rId4"/>
    </customSheetView>
  </customSheetView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V263"/>
  <sheetViews>
    <sheetView showRuler="0" showWhiteSpace="0" zoomScale="85" zoomScaleNormal="85" zoomScalePageLayoutView="55" workbookViewId="0">
      <selection activeCell="N6" sqref="N6"/>
    </sheetView>
  </sheetViews>
  <sheetFormatPr defaultRowHeight="15" x14ac:dyDescent="0.25"/>
  <cols>
    <col min="2" max="2" width="12.7109375" bestFit="1" customWidth="1"/>
    <col min="3" max="3" width="15.5703125" customWidth="1"/>
    <col min="4" max="4" width="7.140625" customWidth="1"/>
    <col min="5" max="5" width="6.85546875" customWidth="1"/>
    <col min="6" max="6" width="7.5703125" bestFit="1" customWidth="1"/>
    <col min="7" max="7" width="7.42578125" customWidth="1"/>
    <col min="8" max="8" width="16.7109375" bestFit="1" customWidth="1"/>
    <col min="9" max="9" width="16.7109375" customWidth="1"/>
    <col min="10" max="10" width="16.5703125" bestFit="1" customWidth="1"/>
    <col min="11" max="12" width="6.42578125" bestFit="1" customWidth="1"/>
    <col min="13" max="13" width="16.28515625" customWidth="1"/>
    <col min="14" max="14" width="19.5703125" customWidth="1"/>
    <col min="15" max="15" width="24.28515625" customWidth="1"/>
    <col min="18" max="19" width="9.28515625" bestFit="1" customWidth="1"/>
  </cols>
  <sheetData>
    <row r="1" spans="2:22" ht="15" customHeight="1" x14ac:dyDescent="0.25">
      <c r="B1" s="180" t="s">
        <v>332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2"/>
    </row>
    <row r="2" spans="2:22" ht="15" customHeight="1" x14ac:dyDescent="0.25">
      <c r="B2" s="183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5"/>
    </row>
    <row r="3" spans="2:22" ht="54" customHeight="1" x14ac:dyDescent="0.25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5"/>
    </row>
    <row r="4" spans="2:22" ht="15" customHeight="1" x14ac:dyDescent="0.25">
      <c r="B4" s="183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5"/>
    </row>
    <row r="5" spans="2:22" ht="15" customHeight="1" x14ac:dyDescent="0.25">
      <c r="B5" s="186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8"/>
    </row>
    <row r="6" spans="2:22" x14ac:dyDescent="0.25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37</v>
      </c>
      <c r="J6" s="3" t="s">
        <v>7</v>
      </c>
      <c r="K6" s="3" t="s">
        <v>8</v>
      </c>
      <c r="L6" s="3" t="s">
        <v>9</v>
      </c>
      <c r="M6" s="3" t="s">
        <v>10</v>
      </c>
      <c r="N6" s="3" t="s">
        <v>95</v>
      </c>
      <c r="O6" s="121" t="s">
        <v>9</v>
      </c>
      <c r="P6" s="121" t="s">
        <v>399</v>
      </c>
      <c r="Q6" s="122"/>
    </row>
    <row r="7" spans="2:22" ht="23.25" x14ac:dyDescent="0.35">
      <c r="B7" s="4" t="s">
        <v>19</v>
      </c>
      <c r="C7" s="2">
        <v>25</v>
      </c>
      <c r="D7" s="2">
        <v>25</v>
      </c>
      <c r="E7" s="2">
        <v>35</v>
      </c>
      <c r="F7" s="2">
        <v>88</v>
      </c>
      <c r="G7" s="2">
        <v>88</v>
      </c>
      <c r="H7" s="45">
        <f>SUM(C7:G7)</f>
        <v>261</v>
      </c>
      <c r="I7" s="45">
        <v>500</v>
      </c>
      <c r="J7" s="70">
        <f>H7/I7*100</f>
        <v>52.2</v>
      </c>
      <c r="K7" s="178" t="str">
        <f t="shared" ref="K7:K18" si="0">IF(J7&gt;=80, "A-1", IF(J7&gt;=70, "A", IF(J7&gt;=65, "B", IF(J7&gt;=45, "C", "---"))))</f>
        <v>C</v>
      </c>
      <c r="L7" s="177" t="str">
        <f>IF(C7&lt;25,"Fail",IF(D7&lt;25,"Fail",IF(E7&lt;35,"Fail",IF(F7&lt;35,"Fail",IF(G7&lt;25,"Fail","Pass")))))</f>
        <v>Pass</v>
      </c>
      <c r="M7" s="2"/>
      <c r="N7" s="179" t="str">
        <f>IF(K7="A-1","Excelent Progress",IF(K7="A","Excelent",IF(K7="B","Good",IF(K7="C","Nice","Keep Hard"))))</f>
        <v>Nice</v>
      </c>
      <c r="O7" s="102" t="str">
        <f>IF(L7="Pass",CHAR(252),CHAR(251))</f>
        <v>ü</v>
      </c>
      <c r="P7" s="120" t="str">
        <f>IF(COUNTIF(B7:B18,B7:B18)&gt;1,"✖️","✔️")</f>
        <v>✔️</v>
      </c>
      <c r="Q7" s="120"/>
      <c r="R7" s="229" t="s">
        <v>23</v>
      </c>
      <c r="S7" s="229"/>
      <c r="T7" s="2"/>
      <c r="U7" s="2"/>
      <c r="V7" s="5" t="s">
        <v>24</v>
      </c>
    </row>
    <row r="8" spans="2:22" ht="23.25" x14ac:dyDescent="0.35">
      <c r="B8" s="4" t="s">
        <v>18</v>
      </c>
      <c r="C8" s="2">
        <v>78</v>
      </c>
      <c r="D8" s="2">
        <v>55</v>
      </c>
      <c r="E8" s="2">
        <v>55</v>
      </c>
      <c r="F8" s="2">
        <v>55</v>
      </c>
      <c r="G8" s="2">
        <v>95</v>
      </c>
      <c r="H8" s="45">
        <f t="shared" ref="H8:H18" si="1">SUM(C8:G8)</f>
        <v>338</v>
      </c>
      <c r="I8" s="45">
        <v>500</v>
      </c>
      <c r="J8" s="70">
        <f t="shared" ref="J8:J18" si="2">H8/I8*100</f>
        <v>67.600000000000009</v>
      </c>
      <c r="K8" s="45" t="str">
        <f t="shared" si="0"/>
        <v>B</v>
      </c>
      <c r="L8" s="45" t="str">
        <f t="shared" ref="L8:L18" si="3">IF(C8&lt;25, "Fail", IF(D8&lt;25, "Fail", IF(E8&lt;33, "Fail", IF(F8&lt;33, "Fail", IF(G8&lt;25, "Fail", "Pass")))))</f>
        <v>Pass</v>
      </c>
      <c r="M8" s="2"/>
      <c r="N8" s="179" t="str">
        <f t="shared" ref="N8:N18" si="4">IF(K8="A-1","Excelent Progress",IF(K8="A","Excelent",IF(K8="B","Good",IF(K8="C","Nice","Keep Hard"))))</f>
        <v>Good</v>
      </c>
      <c r="O8" s="102" t="str">
        <f t="shared" ref="O8:O18" si="5">IF(L8="Pass",CHAR(252),CHAR(251))</f>
        <v>ü</v>
      </c>
      <c r="P8" s="120" t="str">
        <f t="shared" ref="P8:P18" si="6">IF(COUNTIF(B8:B19,B8:B19)&gt;1,"✖️","✔️")</f>
        <v>✔️</v>
      </c>
      <c r="Q8" s="120"/>
      <c r="R8" s="2">
        <v>1</v>
      </c>
      <c r="S8" s="2">
        <v>2</v>
      </c>
      <c r="T8" s="2">
        <v>3</v>
      </c>
      <c r="U8" s="2">
        <v>4</v>
      </c>
      <c r="V8" s="8">
        <f>R8+S8+T8+U8</f>
        <v>10</v>
      </c>
    </row>
    <row r="9" spans="2:22" ht="23.25" x14ac:dyDescent="0.35">
      <c r="B9" s="4" t="s">
        <v>17</v>
      </c>
      <c r="C9" s="2">
        <v>25</v>
      </c>
      <c r="D9" s="2">
        <v>11</v>
      </c>
      <c r="E9" s="2">
        <v>78</v>
      </c>
      <c r="F9" s="2">
        <v>75</v>
      </c>
      <c r="G9" s="2">
        <v>95</v>
      </c>
      <c r="H9" s="45">
        <f t="shared" si="1"/>
        <v>284</v>
      </c>
      <c r="I9" s="45">
        <v>500</v>
      </c>
      <c r="J9" s="70">
        <f t="shared" si="2"/>
        <v>56.8</v>
      </c>
      <c r="K9" s="45" t="str">
        <f t="shared" si="0"/>
        <v>C</v>
      </c>
      <c r="L9" s="45" t="str">
        <f t="shared" si="3"/>
        <v>Fail</v>
      </c>
      <c r="M9" s="2"/>
      <c r="N9" s="179" t="str">
        <f t="shared" si="4"/>
        <v>Nice</v>
      </c>
      <c r="O9" s="102" t="str">
        <f t="shared" si="5"/>
        <v>û</v>
      </c>
      <c r="P9" s="120" t="str">
        <f t="shared" si="6"/>
        <v>✔️</v>
      </c>
      <c r="Q9" s="120"/>
      <c r="R9" s="1"/>
      <c r="S9" s="1"/>
      <c r="T9" s="1"/>
      <c r="U9" s="1"/>
      <c r="V9" s="1"/>
    </row>
    <row r="10" spans="2:22" ht="23.25" x14ac:dyDescent="0.35">
      <c r="B10" s="4" t="s">
        <v>14</v>
      </c>
      <c r="C10" s="2">
        <v>45</v>
      </c>
      <c r="D10" s="2">
        <v>23</v>
      </c>
      <c r="E10" s="2">
        <v>85</v>
      </c>
      <c r="F10" s="2">
        <v>75</v>
      </c>
      <c r="G10" s="2">
        <v>91</v>
      </c>
      <c r="H10" s="45">
        <f t="shared" si="1"/>
        <v>319</v>
      </c>
      <c r="I10" s="45">
        <v>500</v>
      </c>
      <c r="J10" s="70">
        <f t="shared" si="2"/>
        <v>63.800000000000004</v>
      </c>
      <c r="K10" s="45" t="str">
        <f t="shared" si="0"/>
        <v>C</v>
      </c>
      <c r="L10" s="45" t="str">
        <f t="shared" si="3"/>
        <v>Fail</v>
      </c>
      <c r="M10" s="2"/>
      <c r="N10" s="179" t="str">
        <f t="shared" si="4"/>
        <v>Nice</v>
      </c>
      <c r="O10" s="102" t="str">
        <f t="shared" si="5"/>
        <v>û</v>
      </c>
      <c r="P10" s="120" t="str">
        <f t="shared" si="6"/>
        <v>✔️</v>
      </c>
      <c r="Q10" s="120"/>
      <c r="R10" s="1"/>
      <c r="S10" s="1"/>
      <c r="T10" s="1"/>
      <c r="U10" s="1"/>
      <c r="V10" s="1"/>
    </row>
    <row r="11" spans="2:22" ht="23.25" x14ac:dyDescent="0.35">
      <c r="B11" s="4" t="s">
        <v>59</v>
      </c>
      <c r="C11" s="2">
        <v>20</v>
      </c>
      <c r="D11" s="2">
        <v>97</v>
      </c>
      <c r="E11" s="2">
        <v>61</v>
      </c>
      <c r="F11" s="2">
        <v>1</v>
      </c>
      <c r="G11" s="2">
        <v>98</v>
      </c>
      <c r="H11" s="45">
        <f t="shared" si="1"/>
        <v>277</v>
      </c>
      <c r="I11" s="45">
        <v>500</v>
      </c>
      <c r="J11" s="70">
        <f t="shared" si="2"/>
        <v>55.400000000000006</v>
      </c>
      <c r="K11" s="45" t="str">
        <f t="shared" si="0"/>
        <v>C</v>
      </c>
      <c r="L11" s="45" t="str">
        <f t="shared" si="3"/>
        <v>Fail</v>
      </c>
      <c r="M11" s="2"/>
      <c r="N11" s="179" t="str">
        <f t="shared" si="4"/>
        <v>Nice</v>
      </c>
      <c r="O11" s="102" t="str">
        <f t="shared" si="5"/>
        <v>û</v>
      </c>
      <c r="P11" s="120" t="str">
        <f t="shared" si="6"/>
        <v>✔️</v>
      </c>
      <c r="Q11" s="120"/>
      <c r="R11" s="229" t="s">
        <v>25</v>
      </c>
      <c r="S11" s="229"/>
      <c r="T11" s="2"/>
      <c r="U11" s="2"/>
      <c r="V11" s="5" t="s">
        <v>24</v>
      </c>
    </row>
    <row r="12" spans="2:22" ht="23.25" x14ac:dyDescent="0.35">
      <c r="B12" s="4" t="s">
        <v>386</v>
      </c>
      <c r="C12" s="2">
        <v>67</v>
      </c>
      <c r="D12" s="2">
        <v>62</v>
      </c>
      <c r="E12" s="2">
        <v>68</v>
      </c>
      <c r="F12" s="2">
        <v>25</v>
      </c>
      <c r="G12" s="2">
        <v>90</v>
      </c>
      <c r="H12" s="45">
        <f t="shared" si="1"/>
        <v>312</v>
      </c>
      <c r="I12" s="45">
        <v>500</v>
      </c>
      <c r="J12" s="70">
        <f t="shared" si="2"/>
        <v>62.4</v>
      </c>
      <c r="K12" s="45" t="str">
        <f t="shared" si="0"/>
        <v>C</v>
      </c>
      <c r="L12" s="45" t="str">
        <f t="shared" si="3"/>
        <v>Fail</v>
      </c>
      <c r="M12" s="2"/>
      <c r="N12" s="179" t="str">
        <f t="shared" si="4"/>
        <v>Nice</v>
      </c>
      <c r="O12" s="102" t="str">
        <f t="shared" si="5"/>
        <v>û</v>
      </c>
      <c r="P12" s="120" t="str">
        <f t="shared" si="6"/>
        <v>✔️</v>
      </c>
      <c r="Q12" s="120"/>
      <c r="R12" s="2">
        <v>1</v>
      </c>
      <c r="S12" s="2">
        <v>2</v>
      </c>
      <c r="T12" s="2">
        <v>3</v>
      </c>
      <c r="U12" s="2">
        <v>4</v>
      </c>
      <c r="V12" s="8">
        <f>SUM(R12:U12)</f>
        <v>10</v>
      </c>
    </row>
    <row r="13" spans="2:22" ht="23.25" x14ac:dyDescent="0.35">
      <c r="B13" s="4" t="s">
        <v>514</v>
      </c>
      <c r="C13" s="2">
        <v>8</v>
      </c>
      <c r="D13" s="2">
        <v>56</v>
      </c>
      <c r="E13" s="2">
        <v>64</v>
      </c>
      <c r="F13" s="2">
        <v>23</v>
      </c>
      <c r="G13" s="2">
        <v>82</v>
      </c>
      <c r="H13" s="45">
        <f t="shared" si="1"/>
        <v>233</v>
      </c>
      <c r="I13" s="45">
        <v>500</v>
      </c>
      <c r="J13" s="70">
        <f t="shared" si="2"/>
        <v>46.6</v>
      </c>
      <c r="K13" s="45" t="str">
        <f t="shared" si="0"/>
        <v>C</v>
      </c>
      <c r="L13" s="45" t="str">
        <f t="shared" si="3"/>
        <v>Fail</v>
      </c>
      <c r="M13" s="2"/>
      <c r="N13" s="179" t="str">
        <f t="shared" si="4"/>
        <v>Nice</v>
      </c>
      <c r="O13" s="102" t="str">
        <f t="shared" si="5"/>
        <v>û</v>
      </c>
      <c r="P13" s="120" t="str">
        <f t="shared" si="6"/>
        <v>✔️</v>
      </c>
      <c r="Q13" s="120"/>
    </row>
    <row r="14" spans="2:22" ht="23.25" x14ac:dyDescent="0.35">
      <c r="B14" s="4" t="s">
        <v>515</v>
      </c>
      <c r="C14" s="2">
        <v>61</v>
      </c>
      <c r="D14" s="2">
        <v>99</v>
      </c>
      <c r="E14" s="2">
        <v>81</v>
      </c>
      <c r="F14" s="2">
        <v>62</v>
      </c>
      <c r="G14" s="2">
        <v>99</v>
      </c>
      <c r="H14" s="45">
        <f t="shared" si="1"/>
        <v>402</v>
      </c>
      <c r="I14" s="45">
        <v>500</v>
      </c>
      <c r="J14" s="70">
        <f t="shared" si="2"/>
        <v>80.400000000000006</v>
      </c>
      <c r="K14" s="45" t="str">
        <f t="shared" si="0"/>
        <v>A-1</v>
      </c>
      <c r="L14" s="45" t="str">
        <f t="shared" si="3"/>
        <v>Pass</v>
      </c>
      <c r="M14" s="2" t="s">
        <v>533</v>
      </c>
      <c r="N14" s="179" t="str">
        <f t="shared" si="4"/>
        <v>Excelent Progress</v>
      </c>
      <c r="O14" s="102" t="str">
        <f t="shared" si="5"/>
        <v>ü</v>
      </c>
      <c r="P14" s="120" t="str">
        <f t="shared" si="6"/>
        <v>✔️</v>
      </c>
      <c r="Q14" s="120"/>
    </row>
    <row r="15" spans="2:22" ht="23.25" x14ac:dyDescent="0.35">
      <c r="B15" s="4" t="s">
        <v>516</v>
      </c>
      <c r="C15" s="2">
        <v>50</v>
      </c>
      <c r="D15" s="2">
        <v>49</v>
      </c>
      <c r="E15" s="2">
        <v>66</v>
      </c>
      <c r="F15" s="2">
        <v>95</v>
      </c>
      <c r="G15" s="2">
        <v>79</v>
      </c>
      <c r="H15" s="45">
        <f t="shared" si="1"/>
        <v>339</v>
      </c>
      <c r="I15" s="45">
        <v>500</v>
      </c>
      <c r="J15" s="70">
        <f t="shared" si="2"/>
        <v>67.800000000000011</v>
      </c>
      <c r="K15" s="45" t="str">
        <f t="shared" si="0"/>
        <v>B</v>
      </c>
      <c r="L15" s="45" t="str">
        <f t="shared" si="3"/>
        <v>Pass</v>
      </c>
      <c r="M15" s="2" t="s">
        <v>535</v>
      </c>
      <c r="N15" s="179" t="str">
        <f t="shared" si="4"/>
        <v>Good</v>
      </c>
      <c r="O15" s="102" t="str">
        <f t="shared" si="5"/>
        <v>ü</v>
      </c>
      <c r="P15" s="120" t="str">
        <f t="shared" si="6"/>
        <v>✔️</v>
      </c>
      <c r="Q15" s="120"/>
    </row>
    <row r="16" spans="2:22" ht="23.25" x14ac:dyDescent="0.35">
      <c r="B16" s="4" t="s">
        <v>517</v>
      </c>
      <c r="C16" s="2">
        <v>40</v>
      </c>
      <c r="D16" s="2">
        <v>55</v>
      </c>
      <c r="E16" s="2">
        <v>88</v>
      </c>
      <c r="F16" s="2">
        <v>88</v>
      </c>
      <c r="G16" s="2">
        <v>88</v>
      </c>
      <c r="H16" s="45">
        <f t="shared" si="1"/>
        <v>359</v>
      </c>
      <c r="I16" s="45">
        <v>500</v>
      </c>
      <c r="J16" s="70">
        <f t="shared" si="2"/>
        <v>71.8</v>
      </c>
      <c r="K16" s="45" t="str">
        <f t="shared" si="0"/>
        <v>A</v>
      </c>
      <c r="L16" s="45" t="str">
        <f t="shared" si="3"/>
        <v>Pass</v>
      </c>
      <c r="M16" s="2" t="s">
        <v>534</v>
      </c>
      <c r="N16" s="179" t="str">
        <f t="shared" si="4"/>
        <v>Excelent</v>
      </c>
      <c r="O16" s="102" t="str">
        <f t="shared" si="5"/>
        <v>ü</v>
      </c>
      <c r="P16" s="120" t="str">
        <f t="shared" si="6"/>
        <v>✔️</v>
      </c>
      <c r="Q16" s="120"/>
    </row>
    <row r="17" spans="2:17" ht="23.25" x14ac:dyDescent="0.35">
      <c r="B17" s="4" t="s">
        <v>518</v>
      </c>
      <c r="C17" s="2">
        <v>67</v>
      </c>
      <c r="D17" s="2">
        <v>41</v>
      </c>
      <c r="E17" s="2">
        <v>53</v>
      </c>
      <c r="F17" s="2">
        <v>28</v>
      </c>
      <c r="G17" s="2">
        <v>66</v>
      </c>
      <c r="H17" s="45">
        <f t="shared" si="1"/>
        <v>255</v>
      </c>
      <c r="I17" s="45">
        <v>500</v>
      </c>
      <c r="J17" s="70">
        <f t="shared" si="2"/>
        <v>51</v>
      </c>
      <c r="K17" s="45" t="str">
        <f t="shared" si="0"/>
        <v>C</v>
      </c>
      <c r="L17" s="45" t="str">
        <f t="shared" si="3"/>
        <v>Fail</v>
      </c>
      <c r="M17" s="2"/>
      <c r="N17" s="179" t="str">
        <f t="shared" si="4"/>
        <v>Nice</v>
      </c>
      <c r="O17" s="102" t="str">
        <f t="shared" si="5"/>
        <v>û</v>
      </c>
      <c r="P17" s="120" t="str">
        <f t="shared" si="6"/>
        <v>✔️</v>
      </c>
      <c r="Q17" s="120"/>
    </row>
    <row r="18" spans="2:17" ht="23.25" x14ac:dyDescent="0.35">
      <c r="B18" s="4" t="s">
        <v>519</v>
      </c>
      <c r="C18" s="2">
        <v>63</v>
      </c>
      <c r="D18" s="2">
        <v>35</v>
      </c>
      <c r="E18" s="2">
        <v>48</v>
      </c>
      <c r="F18" s="2">
        <v>52</v>
      </c>
      <c r="G18" s="2">
        <v>57</v>
      </c>
      <c r="H18" s="45">
        <f t="shared" si="1"/>
        <v>255</v>
      </c>
      <c r="I18" s="45">
        <v>500</v>
      </c>
      <c r="J18" s="70">
        <f t="shared" si="2"/>
        <v>51</v>
      </c>
      <c r="K18" s="45" t="str">
        <f t="shared" si="0"/>
        <v>C</v>
      </c>
      <c r="L18" s="45" t="str">
        <f t="shared" si="3"/>
        <v>Pass</v>
      </c>
      <c r="M18" s="2"/>
      <c r="N18" s="179" t="str">
        <f t="shared" si="4"/>
        <v>Nice</v>
      </c>
      <c r="O18" s="102" t="str">
        <f t="shared" si="5"/>
        <v>ü</v>
      </c>
      <c r="P18" s="120" t="str">
        <f t="shared" si="6"/>
        <v>✖️</v>
      </c>
      <c r="Q18" s="120"/>
    </row>
    <row r="19" spans="2:17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7" x14ac:dyDescent="0.25">
      <c r="O20" t="s">
        <v>392</v>
      </c>
    </row>
    <row r="22" spans="2:17" ht="15.75" thickBot="1" x14ac:dyDescent="0.3"/>
    <row r="23" spans="2:17" x14ac:dyDescent="0.25">
      <c r="B23" s="49" t="s">
        <v>0</v>
      </c>
      <c r="C23" s="50" t="s">
        <v>220</v>
      </c>
      <c r="D23" s="50" t="s">
        <v>221</v>
      </c>
      <c r="E23" s="50" t="s">
        <v>8</v>
      </c>
      <c r="F23" s="50" t="s">
        <v>9</v>
      </c>
      <c r="G23" s="50" t="s">
        <v>10</v>
      </c>
      <c r="H23" s="51" t="s">
        <v>95</v>
      </c>
      <c r="I23" s="172"/>
    </row>
    <row r="24" spans="2:17" ht="15.75" thickBot="1" x14ac:dyDescent="0.3">
      <c r="B24" s="46" t="s">
        <v>531</v>
      </c>
      <c r="C24" s="47">
        <f>IFERROR(VLOOKUP(B24, B6:N18, 7, 0),"")</f>
        <v>255</v>
      </c>
      <c r="D24" s="52">
        <f>IFERROR(VLOOKUP(B24, B6:N18, 8, 0),"")</f>
        <v>500</v>
      </c>
      <c r="E24" s="47">
        <f>IFERROR(VLOOKUP(B24, B6:N18, 9, 0),"")</f>
        <v>51</v>
      </c>
      <c r="F24" s="47" t="str">
        <f>VLOOKUP(B24, B6:N18, 10, 0)</f>
        <v>C</v>
      </c>
      <c r="G24" s="47" t="str">
        <f>VLOOKUP(B24, B6:N18, 11, 0)</f>
        <v>Pass</v>
      </c>
      <c r="H24" s="48">
        <f>VLOOKUP(B24, B6:N18, 12, 0)</f>
        <v>0</v>
      </c>
      <c r="I24" s="38"/>
    </row>
    <row r="26" spans="2:17" ht="15.75" thickBot="1" x14ac:dyDescent="0.3"/>
    <row r="27" spans="2:17" x14ac:dyDescent="0.25">
      <c r="B27" s="49" t="s">
        <v>0</v>
      </c>
      <c r="C27" s="50" t="s">
        <v>220</v>
      </c>
      <c r="D27" s="50" t="s">
        <v>221</v>
      </c>
      <c r="E27" s="50" t="s">
        <v>8</v>
      </c>
      <c r="F27" s="50" t="s">
        <v>9</v>
      </c>
      <c r="G27" s="50" t="s">
        <v>10</v>
      </c>
      <c r="H27" s="51" t="s">
        <v>95</v>
      </c>
    </row>
    <row r="28" spans="2:17" ht="23.25" x14ac:dyDescent="0.35">
      <c r="B28" t="s">
        <v>531</v>
      </c>
      <c r="C28" s="169">
        <f>IFERROR(VLOOKUP(B28,B7:N18,7,0),"")</f>
        <v>255</v>
      </c>
      <c r="D28">
        <f>IFERROR(VLOOKUP(B28,B7:N18,9,0),"")</f>
        <v>51</v>
      </c>
      <c r="E28" t="str">
        <f>IFERROR(VLOOKUP(B28,B7:N18,10,0),"")</f>
        <v>C</v>
      </c>
      <c r="F28" t="str">
        <f>IFERROR(VLOOKUP(B28,B7:N18,11,0),"")</f>
        <v>Pass</v>
      </c>
      <c r="G28">
        <f>VLOOKUP(B28,B7:N18,12,0)</f>
        <v>0</v>
      </c>
      <c r="H28" t="str">
        <f>VLOOKUP(B28,B7:N18,13,0)</f>
        <v>Nice</v>
      </c>
    </row>
    <row r="32" spans="2:17" x14ac:dyDescent="0.25">
      <c r="H32" t="s">
        <v>40</v>
      </c>
    </row>
    <row r="33" spans="10:12" x14ac:dyDescent="0.25">
      <c r="L33" t="s">
        <v>40</v>
      </c>
    </row>
    <row r="34" spans="10:12" x14ac:dyDescent="0.25">
      <c r="L34" t="s">
        <v>41</v>
      </c>
    </row>
    <row r="35" spans="10:12" x14ac:dyDescent="0.25">
      <c r="L35" t="s">
        <v>42</v>
      </c>
    </row>
    <row r="45" spans="10:12" x14ac:dyDescent="0.25">
      <c r="J45" s="77" t="s">
        <v>340</v>
      </c>
    </row>
    <row r="47" spans="10:12" x14ac:dyDescent="0.25">
      <c r="J47" s="77" t="s">
        <v>341</v>
      </c>
    </row>
    <row r="49" spans="10:10" x14ac:dyDescent="0.25">
      <c r="J49" s="77" t="s">
        <v>342</v>
      </c>
    </row>
    <row r="65" spans="8:9" x14ac:dyDescent="0.25">
      <c r="H65" s="53"/>
      <c r="I65" s="53"/>
    </row>
    <row r="83" spans="8:9" x14ac:dyDescent="0.25">
      <c r="H83" s="53">
        <v>42661</v>
      </c>
      <c r="I83" s="53"/>
    </row>
    <row r="84" spans="8:9" x14ac:dyDescent="0.25">
      <c r="H84" s="53">
        <v>42662</v>
      </c>
      <c r="I84" s="53"/>
    </row>
    <row r="85" spans="8:9" x14ac:dyDescent="0.25">
      <c r="H85" s="53">
        <v>42663</v>
      </c>
      <c r="I85" s="53"/>
    </row>
    <row r="86" spans="8:9" x14ac:dyDescent="0.25">
      <c r="H86" s="53">
        <v>42664</v>
      </c>
      <c r="I86" s="53"/>
    </row>
    <row r="87" spans="8:9" x14ac:dyDescent="0.25">
      <c r="H87" s="53">
        <v>42665</v>
      </c>
      <c r="I87" s="53"/>
    </row>
    <row r="88" spans="8:9" x14ac:dyDescent="0.25">
      <c r="H88" s="53">
        <v>42666</v>
      </c>
      <c r="I88" s="53"/>
    </row>
    <row r="89" spans="8:9" x14ac:dyDescent="0.25">
      <c r="H89" s="53">
        <v>42667</v>
      </c>
      <c r="I89" s="53"/>
    </row>
    <row r="90" spans="8:9" x14ac:dyDescent="0.25">
      <c r="H90" s="53">
        <v>42668</v>
      </c>
      <c r="I90" s="53"/>
    </row>
    <row r="91" spans="8:9" x14ac:dyDescent="0.25">
      <c r="H91" s="53">
        <v>42669</v>
      </c>
      <c r="I91" s="53"/>
    </row>
    <row r="92" spans="8:9" x14ac:dyDescent="0.25">
      <c r="H92" s="53">
        <v>42670</v>
      </c>
      <c r="I92" s="53"/>
    </row>
    <row r="93" spans="8:9" x14ac:dyDescent="0.25">
      <c r="H93" s="53">
        <v>42671</v>
      </c>
      <c r="I93" s="53"/>
    </row>
    <row r="94" spans="8:9" x14ac:dyDescent="0.25">
      <c r="H94" s="53">
        <v>42672</v>
      </c>
      <c r="I94" s="53"/>
    </row>
    <row r="95" spans="8:9" x14ac:dyDescent="0.25">
      <c r="H95" s="53">
        <v>42673</v>
      </c>
      <c r="I95" s="53"/>
    </row>
    <row r="96" spans="8:9" x14ac:dyDescent="0.25">
      <c r="H96" s="53">
        <v>42674</v>
      </c>
      <c r="I96" s="53"/>
    </row>
    <row r="97" spans="8:9" x14ac:dyDescent="0.25">
      <c r="H97" s="53">
        <v>42675</v>
      </c>
      <c r="I97" s="53"/>
    </row>
    <row r="98" spans="8:9" x14ac:dyDescent="0.25">
      <c r="H98" s="53">
        <v>42676</v>
      </c>
      <c r="I98" s="53"/>
    </row>
    <row r="99" spans="8:9" x14ac:dyDescent="0.25">
      <c r="H99" s="53">
        <v>42677</v>
      </c>
      <c r="I99" s="53"/>
    </row>
    <row r="100" spans="8:9" x14ac:dyDescent="0.25">
      <c r="H100" s="53">
        <v>42678</v>
      </c>
      <c r="I100" s="53"/>
    </row>
    <row r="101" spans="8:9" x14ac:dyDescent="0.25">
      <c r="H101" s="53">
        <v>42679</v>
      </c>
      <c r="I101" s="53"/>
    </row>
    <row r="102" spans="8:9" x14ac:dyDescent="0.25">
      <c r="H102" s="53">
        <v>42680</v>
      </c>
      <c r="I102" s="53"/>
    </row>
    <row r="103" spans="8:9" x14ac:dyDescent="0.25">
      <c r="H103" s="53">
        <v>42681</v>
      </c>
      <c r="I103" s="53"/>
    </row>
    <row r="104" spans="8:9" x14ac:dyDescent="0.25">
      <c r="H104" s="53">
        <v>42682</v>
      </c>
      <c r="I104" s="53"/>
    </row>
    <row r="105" spans="8:9" x14ac:dyDescent="0.25">
      <c r="H105" s="53">
        <v>42683</v>
      </c>
      <c r="I105" s="53"/>
    </row>
    <row r="106" spans="8:9" x14ac:dyDescent="0.25">
      <c r="H106" s="53">
        <v>42684</v>
      </c>
      <c r="I106" s="53"/>
    </row>
    <row r="107" spans="8:9" x14ac:dyDescent="0.25">
      <c r="H107" s="53">
        <v>42685</v>
      </c>
      <c r="I107" s="53"/>
    </row>
    <row r="108" spans="8:9" x14ac:dyDescent="0.25">
      <c r="H108" s="53">
        <v>42686</v>
      </c>
      <c r="I108" s="53"/>
    </row>
    <row r="109" spans="8:9" x14ac:dyDescent="0.25">
      <c r="H109" s="53">
        <v>42687</v>
      </c>
      <c r="I109" s="53"/>
    </row>
    <row r="110" spans="8:9" x14ac:dyDescent="0.25">
      <c r="H110" s="53">
        <v>42688</v>
      </c>
      <c r="I110" s="53"/>
    </row>
    <row r="111" spans="8:9" x14ac:dyDescent="0.25">
      <c r="H111" s="53">
        <v>42689</v>
      </c>
      <c r="I111" s="53"/>
    </row>
    <row r="112" spans="8:9" x14ac:dyDescent="0.25">
      <c r="H112" s="53">
        <v>42690</v>
      </c>
      <c r="I112" s="53"/>
    </row>
    <row r="113" spans="8:9" x14ac:dyDescent="0.25">
      <c r="H113" s="53">
        <v>42691</v>
      </c>
      <c r="I113" s="53"/>
    </row>
    <row r="114" spans="8:9" x14ac:dyDescent="0.25">
      <c r="H114" s="53">
        <v>42692</v>
      </c>
      <c r="I114" s="53"/>
    </row>
    <row r="115" spans="8:9" x14ac:dyDescent="0.25">
      <c r="H115" s="53">
        <v>42693</v>
      </c>
      <c r="I115" s="53"/>
    </row>
    <row r="116" spans="8:9" x14ac:dyDescent="0.25">
      <c r="H116" s="53">
        <v>42694</v>
      </c>
      <c r="I116" s="53"/>
    </row>
    <row r="117" spans="8:9" x14ac:dyDescent="0.25">
      <c r="H117" s="53">
        <v>42695</v>
      </c>
      <c r="I117" s="53"/>
    </row>
    <row r="118" spans="8:9" x14ac:dyDescent="0.25">
      <c r="H118" s="53">
        <v>42696</v>
      </c>
      <c r="I118" s="53"/>
    </row>
    <row r="119" spans="8:9" x14ac:dyDescent="0.25">
      <c r="H119" s="53">
        <v>42697</v>
      </c>
      <c r="I119" s="53"/>
    </row>
    <row r="120" spans="8:9" x14ac:dyDescent="0.25">
      <c r="H120" s="53">
        <v>42698</v>
      </c>
      <c r="I120" s="53"/>
    </row>
    <row r="121" spans="8:9" x14ac:dyDescent="0.25">
      <c r="H121" s="53">
        <v>42699</v>
      </c>
      <c r="I121" s="53"/>
    </row>
    <row r="122" spans="8:9" x14ac:dyDescent="0.25">
      <c r="H122" s="53">
        <v>42700</v>
      </c>
      <c r="I122" s="53"/>
    </row>
    <row r="123" spans="8:9" x14ac:dyDescent="0.25">
      <c r="H123" s="53">
        <v>42701</v>
      </c>
      <c r="I123" s="53"/>
    </row>
    <row r="124" spans="8:9" x14ac:dyDescent="0.25">
      <c r="H124" s="53">
        <v>42702</v>
      </c>
      <c r="I124" s="53"/>
    </row>
    <row r="125" spans="8:9" x14ac:dyDescent="0.25">
      <c r="H125" s="53">
        <v>42703</v>
      </c>
      <c r="I125" s="53"/>
    </row>
    <row r="126" spans="8:9" x14ac:dyDescent="0.25">
      <c r="H126" s="53">
        <v>42704</v>
      </c>
      <c r="I126" s="53"/>
    </row>
    <row r="127" spans="8:9" x14ac:dyDescent="0.25">
      <c r="H127" s="53">
        <v>42705</v>
      </c>
      <c r="I127" s="53"/>
    </row>
    <row r="128" spans="8:9" x14ac:dyDescent="0.25">
      <c r="H128" s="53">
        <v>42706</v>
      </c>
      <c r="I128" s="53"/>
    </row>
    <row r="129" spans="8:9" x14ac:dyDescent="0.25">
      <c r="H129" s="53">
        <v>42707</v>
      </c>
      <c r="I129" s="53"/>
    </row>
    <row r="130" spans="8:9" x14ac:dyDescent="0.25">
      <c r="H130" s="53">
        <v>42708</v>
      </c>
      <c r="I130" s="53"/>
    </row>
    <row r="131" spans="8:9" x14ac:dyDescent="0.25">
      <c r="H131" s="53">
        <v>42709</v>
      </c>
      <c r="I131" s="53"/>
    </row>
    <row r="132" spans="8:9" x14ac:dyDescent="0.25">
      <c r="H132" s="53">
        <v>42710</v>
      </c>
      <c r="I132" s="53"/>
    </row>
    <row r="133" spans="8:9" x14ac:dyDescent="0.25">
      <c r="H133" s="53">
        <v>42711</v>
      </c>
      <c r="I133" s="53"/>
    </row>
    <row r="134" spans="8:9" x14ac:dyDescent="0.25">
      <c r="H134" s="53">
        <v>42712</v>
      </c>
      <c r="I134" s="53"/>
    </row>
    <row r="135" spans="8:9" x14ac:dyDescent="0.25">
      <c r="H135" s="53">
        <v>42713</v>
      </c>
      <c r="I135" s="53"/>
    </row>
    <row r="136" spans="8:9" x14ac:dyDescent="0.25">
      <c r="H136" s="53">
        <v>42714</v>
      </c>
      <c r="I136" s="53"/>
    </row>
    <row r="137" spans="8:9" x14ac:dyDescent="0.25">
      <c r="H137" s="53">
        <v>42715</v>
      </c>
      <c r="I137" s="53"/>
    </row>
    <row r="138" spans="8:9" x14ac:dyDescent="0.25">
      <c r="H138" s="53">
        <v>42716</v>
      </c>
      <c r="I138" s="53"/>
    </row>
    <row r="139" spans="8:9" x14ac:dyDescent="0.25">
      <c r="H139" s="53">
        <v>42717</v>
      </c>
      <c r="I139" s="53"/>
    </row>
    <row r="140" spans="8:9" x14ac:dyDescent="0.25">
      <c r="H140" s="53">
        <v>42718</v>
      </c>
      <c r="I140" s="53"/>
    </row>
    <row r="141" spans="8:9" x14ac:dyDescent="0.25">
      <c r="H141" s="53">
        <v>42719</v>
      </c>
      <c r="I141" s="53"/>
    </row>
    <row r="142" spans="8:9" x14ac:dyDescent="0.25">
      <c r="H142" s="53">
        <v>42720</v>
      </c>
      <c r="I142" s="53"/>
    </row>
    <row r="143" spans="8:9" x14ac:dyDescent="0.25">
      <c r="H143" s="53">
        <v>42721</v>
      </c>
      <c r="I143" s="53"/>
    </row>
    <row r="144" spans="8:9" x14ac:dyDescent="0.25">
      <c r="H144" s="53">
        <v>42722</v>
      </c>
      <c r="I144" s="53"/>
    </row>
    <row r="145" spans="8:9" x14ac:dyDescent="0.25">
      <c r="H145" s="53">
        <v>42723</v>
      </c>
      <c r="I145" s="53"/>
    </row>
    <row r="146" spans="8:9" x14ac:dyDescent="0.25">
      <c r="H146" s="53">
        <v>42724</v>
      </c>
      <c r="I146" s="53"/>
    </row>
    <row r="147" spans="8:9" x14ac:dyDescent="0.25">
      <c r="H147" s="53">
        <v>42725</v>
      </c>
      <c r="I147" s="53"/>
    </row>
    <row r="148" spans="8:9" x14ac:dyDescent="0.25">
      <c r="H148" s="53">
        <v>42726</v>
      </c>
      <c r="I148" s="53"/>
    </row>
    <row r="149" spans="8:9" x14ac:dyDescent="0.25">
      <c r="H149" s="53">
        <v>42727</v>
      </c>
      <c r="I149" s="53"/>
    </row>
    <row r="150" spans="8:9" x14ac:dyDescent="0.25">
      <c r="H150" s="53">
        <v>42728</v>
      </c>
      <c r="I150" s="53"/>
    </row>
    <row r="151" spans="8:9" x14ac:dyDescent="0.25">
      <c r="H151" s="53">
        <v>42729</v>
      </c>
      <c r="I151" s="53"/>
    </row>
    <row r="152" spans="8:9" x14ac:dyDescent="0.25">
      <c r="H152" s="53">
        <v>42730</v>
      </c>
      <c r="I152" s="53"/>
    </row>
    <row r="153" spans="8:9" x14ac:dyDescent="0.25">
      <c r="H153" s="53">
        <v>42731</v>
      </c>
      <c r="I153" s="53"/>
    </row>
    <row r="154" spans="8:9" x14ac:dyDescent="0.25">
      <c r="H154" s="53">
        <v>42732</v>
      </c>
      <c r="I154" s="53"/>
    </row>
    <row r="155" spans="8:9" x14ac:dyDescent="0.25">
      <c r="H155" s="53">
        <v>42733</v>
      </c>
      <c r="I155" s="53"/>
    </row>
    <row r="156" spans="8:9" x14ac:dyDescent="0.25">
      <c r="H156" s="53">
        <v>42734</v>
      </c>
      <c r="I156" s="53"/>
    </row>
    <row r="157" spans="8:9" x14ac:dyDescent="0.25">
      <c r="H157" s="53">
        <v>42735</v>
      </c>
      <c r="I157" s="53"/>
    </row>
    <row r="158" spans="8:9" x14ac:dyDescent="0.25">
      <c r="H158" s="53">
        <v>42736</v>
      </c>
      <c r="I158" s="53"/>
    </row>
    <row r="159" spans="8:9" x14ac:dyDescent="0.25">
      <c r="H159" s="53">
        <v>42737</v>
      </c>
      <c r="I159" s="53"/>
    </row>
    <row r="160" spans="8:9" x14ac:dyDescent="0.25">
      <c r="H160" s="53">
        <v>42738</v>
      </c>
      <c r="I160" s="53"/>
    </row>
    <row r="161" spans="8:9" x14ac:dyDescent="0.25">
      <c r="H161" s="53">
        <v>42739</v>
      </c>
      <c r="I161" s="53"/>
    </row>
    <row r="162" spans="8:9" x14ac:dyDescent="0.25">
      <c r="H162" s="53">
        <v>42740</v>
      </c>
      <c r="I162" s="53"/>
    </row>
    <row r="163" spans="8:9" x14ac:dyDescent="0.25">
      <c r="H163" s="53">
        <v>42741</v>
      </c>
      <c r="I163" s="53"/>
    </row>
    <row r="164" spans="8:9" x14ac:dyDescent="0.25">
      <c r="H164" s="53">
        <v>42742</v>
      </c>
      <c r="I164" s="53"/>
    </row>
    <row r="165" spans="8:9" x14ac:dyDescent="0.25">
      <c r="H165" s="53">
        <v>42743</v>
      </c>
      <c r="I165" s="53"/>
    </row>
    <row r="166" spans="8:9" x14ac:dyDescent="0.25">
      <c r="H166" s="53">
        <v>42744</v>
      </c>
      <c r="I166" s="53"/>
    </row>
    <row r="167" spans="8:9" x14ac:dyDescent="0.25">
      <c r="H167" s="53">
        <v>42745</v>
      </c>
      <c r="I167" s="53"/>
    </row>
    <row r="168" spans="8:9" x14ac:dyDescent="0.25">
      <c r="H168" s="53">
        <v>42746</v>
      </c>
      <c r="I168" s="53"/>
    </row>
    <row r="169" spans="8:9" x14ac:dyDescent="0.25">
      <c r="H169" s="53">
        <v>42747</v>
      </c>
      <c r="I169" s="53"/>
    </row>
    <row r="170" spans="8:9" x14ac:dyDescent="0.25">
      <c r="H170" s="53">
        <v>42748</v>
      </c>
      <c r="I170" s="53"/>
    </row>
    <row r="171" spans="8:9" x14ac:dyDescent="0.25">
      <c r="H171" s="53">
        <v>42749</v>
      </c>
      <c r="I171" s="53"/>
    </row>
    <row r="172" spans="8:9" x14ac:dyDescent="0.25">
      <c r="H172" s="53">
        <v>42750</v>
      </c>
      <c r="I172" s="53"/>
    </row>
    <row r="173" spans="8:9" x14ac:dyDescent="0.25">
      <c r="H173" s="53">
        <v>42751</v>
      </c>
      <c r="I173" s="53"/>
    </row>
    <row r="174" spans="8:9" x14ac:dyDescent="0.25">
      <c r="H174" s="53">
        <v>42752</v>
      </c>
      <c r="I174" s="53"/>
    </row>
    <row r="175" spans="8:9" x14ac:dyDescent="0.25">
      <c r="H175" s="53">
        <v>42753</v>
      </c>
      <c r="I175" s="53"/>
    </row>
    <row r="176" spans="8:9" x14ac:dyDescent="0.25">
      <c r="H176" s="53">
        <v>42754</v>
      </c>
      <c r="I176" s="53"/>
    </row>
    <row r="177" spans="8:9" x14ac:dyDescent="0.25">
      <c r="H177" s="53">
        <v>42755</v>
      </c>
      <c r="I177" s="53"/>
    </row>
    <row r="178" spans="8:9" x14ac:dyDescent="0.25">
      <c r="H178" s="53">
        <v>42756</v>
      </c>
      <c r="I178" s="53"/>
    </row>
    <row r="179" spans="8:9" x14ac:dyDescent="0.25">
      <c r="H179" s="53">
        <v>42757</v>
      </c>
      <c r="I179" s="53"/>
    </row>
    <row r="180" spans="8:9" x14ac:dyDescent="0.25">
      <c r="H180" s="53">
        <v>42758</v>
      </c>
      <c r="I180" s="53"/>
    </row>
    <row r="181" spans="8:9" x14ac:dyDescent="0.25">
      <c r="H181" s="53">
        <v>42759</v>
      </c>
      <c r="I181" s="53"/>
    </row>
    <row r="182" spans="8:9" x14ac:dyDescent="0.25">
      <c r="H182" s="53">
        <v>42760</v>
      </c>
      <c r="I182" s="53"/>
    </row>
    <row r="183" spans="8:9" x14ac:dyDescent="0.25">
      <c r="H183" s="53">
        <v>42761</v>
      </c>
      <c r="I183" s="53"/>
    </row>
    <row r="184" spans="8:9" x14ac:dyDescent="0.25">
      <c r="H184" s="53">
        <v>42762</v>
      </c>
      <c r="I184" s="53"/>
    </row>
    <row r="185" spans="8:9" x14ac:dyDescent="0.25">
      <c r="H185" s="53">
        <v>42763</v>
      </c>
      <c r="I185" s="53"/>
    </row>
    <row r="186" spans="8:9" x14ac:dyDescent="0.25">
      <c r="H186" s="53">
        <v>42764</v>
      </c>
      <c r="I186" s="53"/>
    </row>
    <row r="187" spans="8:9" x14ac:dyDescent="0.25">
      <c r="H187" s="53">
        <v>42765</v>
      </c>
      <c r="I187" s="53"/>
    </row>
    <row r="188" spans="8:9" x14ac:dyDescent="0.25">
      <c r="H188" s="53">
        <v>42766</v>
      </c>
      <c r="I188" s="53"/>
    </row>
    <row r="189" spans="8:9" x14ac:dyDescent="0.25">
      <c r="H189" s="53">
        <v>42767</v>
      </c>
      <c r="I189" s="53"/>
    </row>
    <row r="190" spans="8:9" x14ac:dyDescent="0.25">
      <c r="H190" s="53">
        <v>42768</v>
      </c>
      <c r="I190" s="53"/>
    </row>
    <row r="191" spans="8:9" x14ac:dyDescent="0.25">
      <c r="H191" s="53">
        <v>42769</v>
      </c>
      <c r="I191" s="53"/>
    </row>
    <row r="192" spans="8:9" x14ac:dyDescent="0.25">
      <c r="H192" s="53">
        <v>42770</v>
      </c>
      <c r="I192" s="53"/>
    </row>
    <row r="193" spans="8:9" x14ac:dyDescent="0.25">
      <c r="H193" s="53">
        <v>42771</v>
      </c>
      <c r="I193" s="53"/>
    </row>
    <row r="194" spans="8:9" x14ac:dyDescent="0.25">
      <c r="H194" s="53">
        <v>42772</v>
      </c>
      <c r="I194" s="53"/>
    </row>
    <row r="195" spans="8:9" x14ac:dyDescent="0.25">
      <c r="H195" s="53">
        <v>42773</v>
      </c>
      <c r="I195" s="53"/>
    </row>
    <row r="196" spans="8:9" x14ac:dyDescent="0.25">
      <c r="H196" s="53">
        <v>42774</v>
      </c>
      <c r="I196" s="53"/>
    </row>
    <row r="197" spans="8:9" x14ac:dyDescent="0.25">
      <c r="H197" s="53">
        <v>42775</v>
      </c>
      <c r="I197" s="53"/>
    </row>
    <row r="198" spans="8:9" x14ac:dyDescent="0.25">
      <c r="H198" s="53">
        <v>42776</v>
      </c>
      <c r="I198" s="53"/>
    </row>
    <row r="199" spans="8:9" x14ac:dyDescent="0.25">
      <c r="H199" s="53">
        <v>42777</v>
      </c>
      <c r="I199" s="53"/>
    </row>
    <row r="200" spans="8:9" x14ac:dyDescent="0.25">
      <c r="H200" s="53">
        <v>42778</v>
      </c>
      <c r="I200" s="53"/>
    </row>
    <row r="201" spans="8:9" x14ac:dyDescent="0.25">
      <c r="H201" s="53">
        <v>42779</v>
      </c>
      <c r="I201" s="53"/>
    </row>
    <row r="202" spans="8:9" x14ac:dyDescent="0.25">
      <c r="H202" s="53">
        <v>42780</v>
      </c>
      <c r="I202" s="53"/>
    </row>
    <row r="203" spans="8:9" x14ac:dyDescent="0.25">
      <c r="H203" s="53">
        <v>42781</v>
      </c>
      <c r="I203" s="53"/>
    </row>
    <row r="204" spans="8:9" x14ac:dyDescent="0.25">
      <c r="H204" s="53">
        <v>42782</v>
      </c>
      <c r="I204" s="53"/>
    </row>
    <row r="205" spans="8:9" x14ac:dyDescent="0.25">
      <c r="H205" s="53">
        <v>42783</v>
      </c>
      <c r="I205" s="53"/>
    </row>
    <row r="206" spans="8:9" x14ac:dyDescent="0.25">
      <c r="H206" s="53">
        <v>42784</v>
      </c>
      <c r="I206" s="53"/>
    </row>
    <row r="207" spans="8:9" x14ac:dyDescent="0.25">
      <c r="H207" s="53">
        <v>42785</v>
      </c>
      <c r="I207" s="53"/>
    </row>
    <row r="208" spans="8:9" x14ac:dyDescent="0.25">
      <c r="H208" s="53">
        <v>42786</v>
      </c>
      <c r="I208" s="53"/>
    </row>
    <row r="209" spans="8:9" x14ac:dyDescent="0.25">
      <c r="H209" s="53">
        <v>42787</v>
      </c>
      <c r="I209" s="53"/>
    </row>
    <row r="210" spans="8:9" x14ac:dyDescent="0.25">
      <c r="H210" s="53">
        <v>42788</v>
      </c>
      <c r="I210" s="53"/>
    </row>
    <row r="211" spans="8:9" x14ac:dyDescent="0.25">
      <c r="H211" s="53">
        <v>42789</v>
      </c>
      <c r="I211" s="53"/>
    </row>
    <row r="212" spans="8:9" x14ac:dyDescent="0.25">
      <c r="H212" s="53">
        <v>42790</v>
      </c>
      <c r="I212" s="53"/>
    </row>
    <row r="213" spans="8:9" x14ac:dyDescent="0.25">
      <c r="H213" s="53">
        <v>42791</v>
      </c>
      <c r="I213" s="53"/>
    </row>
    <row r="214" spans="8:9" x14ac:dyDescent="0.25">
      <c r="H214" s="53">
        <v>42792</v>
      </c>
      <c r="I214" s="53"/>
    </row>
    <row r="215" spans="8:9" x14ac:dyDescent="0.25">
      <c r="H215" s="53">
        <v>42793</v>
      </c>
      <c r="I215" s="53"/>
    </row>
    <row r="216" spans="8:9" x14ac:dyDescent="0.25">
      <c r="H216" s="53">
        <v>42794</v>
      </c>
      <c r="I216" s="53"/>
    </row>
    <row r="217" spans="8:9" x14ac:dyDescent="0.25">
      <c r="H217" s="53">
        <v>42795</v>
      </c>
      <c r="I217" s="53"/>
    </row>
    <row r="218" spans="8:9" x14ac:dyDescent="0.25">
      <c r="H218" s="53">
        <v>42796</v>
      </c>
      <c r="I218" s="53"/>
    </row>
    <row r="219" spans="8:9" x14ac:dyDescent="0.25">
      <c r="H219" s="53">
        <v>42797</v>
      </c>
      <c r="I219" s="53"/>
    </row>
    <row r="220" spans="8:9" x14ac:dyDescent="0.25">
      <c r="H220" s="53">
        <v>42798</v>
      </c>
      <c r="I220" s="53"/>
    </row>
    <row r="221" spans="8:9" x14ac:dyDescent="0.25">
      <c r="H221" s="53">
        <v>42799</v>
      </c>
      <c r="I221" s="53"/>
    </row>
    <row r="222" spans="8:9" x14ac:dyDescent="0.25">
      <c r="H222" s="53">
        <v>42800</v>
      </c>
      <c r="I222" s="53"/>
    </row>
    <row r="223" spans="8:9" x14ac:dyDescent="0.25">
      <c r="H223" s="53">
        <v>42801</v>
      </c>
      <c r="I223" s="53"/>
    </row>
    <row r="224" spans="8:9" x14ac:dyDescent="0.25">
      <c r="H224" s="53">
        <v>42802</v>
      </c>
      <c r="I224" s="53"/>
    </row>
    <row r="225" spans="8:9" x14ac:dyDescent="0.25">
      <c r="H225" s="53">
        <v>42803</v>
      </c>
      <c r="I225" s="53"/>
    </row>
    <row r="226" spans="8:9" x14ac:dyDescent="0.25">
      <c r="H226" s="53">
        <v>42804</v>
      </c>
      <c r="I226" s="53"/>
    </row>
    <row r="227" spans="8:9" x14ac:dyDescent="0.25">
      <c r="H227" s="53">
        <v>42805</v>
      </c>
      <c r="I227" s="53"/>
    </row>
    <row r="228" spans="8:9" x14ac:dyDescent="0.25">
      <c r="H228" s="53">
        <v>42806</v>
      </c>
      <c r="I228" s="53"/>
    </row>
    <row r="229" spans="8:9" x14ac:dyDescent="0.25">
      <c r="H229" s="53">
        <v>42807</v>
      </c>
      <c r="I229" s="53"/>
    </row>
    <row r="230" spans="8:9" x14ac:dyDescent="0.25">
      <c r="H230" s="53">
        <v>42808</v>
      </c>
      <c r="I230" s="53"/>
    </row>
    <row r="231" spans="8:9" x14ac:dyDescent="0.25">
      <c r="H231" s="53">
        <v>42809</v>
      </c>
      <c r="I231" s="53"/>
    </row>
    <row r="232" spans="8:9" x14ac:dyDescent="0.25">
      <c r="H232" s="53">
        <v>42810</v>
      </c>
      <c r="I232" s="53"/>
    </row>
    <row r="233" spans="8:9" x14ac:dyDescent="0.25">
      <c r="H233" s="53">
        <v>42811</v>
      </c>
      <c r="I233" s="53"/>
    </row>
    <row r="234" spans="8:9" x14ac:dyDescent="0.25">
      <c r="H234" s="53">
        <v>42812</v>
      </c>
      <c r="I234" s="53"/>
    </row>
    <row r="235" spans="8:9" x14ac:dyDescent="0.25">
      <c r="H235" s="53">
        <v>42813</v>
      </c>
      <c r="I235" s="53"/>
    </row>
    <row r="236" spans="8:9" x14ac:dyDescent="0.25">
      <c r="H236" s="53">
        <v>42814</v>
      </c>
      <c r="I236" s="53"/>
    </row>
    <row r="237" spans="8:9" x14ac:dyDescent="0.25">
      <c r="H237" s="53">
        <v>42815</v>
      </c>
      <c r="I237" s="53"/>
    </row>
    <row r="238" spans="8:9" x14ac:dyDescent="0.25">
      <c r="H238" s="53">
        <v>42816</v>
      </c>
      <c r="I238" s="53"/>
    </row>
    <row r="239" spans="8:9" x14ac:dyDescent="0.25">
      <c r="H239" s="53">
        <v>42817</v>
      </c>
      <c r="I239" s="53"/>
    </row>
    <row r="240" spans="8:9" x14ac:dyDescent="0.25">
      <c r="H240" s="53">
        <v>42818</v>
      </c>
      <c r="I240" s="53"/>
    </row>
    <row r="241" spans="8:9" x14ac:dyDescent="0.25">
      <c r="H241" s="53">
        <v>42819</v>
      </c>
      <c r="I241" s="53"/>
    </row>
    <row r="242" spans="8:9" x14ac:dyDescent="0.25">
      <c r="H242" s="53">
        <v>42820</v>
      </c>
      <c r="I242" s="53"/>
    </row>
    <row r="243" spans="8:9" x14ac:dyDescent="0.25">
      <c r="H243" s="53">
        <v>42821</v>
      </c>
      <c r="I243" s="53"/>
    </row>
    <row r="244" spans="8:9" x14ac:dyDescent="0.25">
      <c r="H244" s="53">
        <v>42822</v>
      </c>
      <c r="I244" s="53"/>
    </row>
    <row r="245" spans="8:9" x14ac:dyDescent="0.25">
      <c r="H245" s="53">
        <v>42823</v>
      </c>
      <c r="I245" s="53"/>
    </row>
    <row r="246" spans="8:9" x14ac:dyDescent="0.25">
      <c r="H246" s="53">
        <v>42824</v>
      </c>
      <c r="I246" s="53"/>
    </row>
    <row r="247" spans="8:9" x14ac:dyDescent="0.25">
      <c r="H247" s="53">
        <v>42825</v>
      </c>
      <c r="I247" s="53"/>
    </row>
    <row r="248" spans="8:9" x14ac:dyDescent="0.25">
      <c r="H248" s="53">
        <v>42826</v>
      </c>
      <c r="I248" s="53"/>
    </row>
    <row r="249" spans="8:9" x14ac:dyDescent="0.25">
      <c r="H249" s="53">
        <v>42827</v>
      </c>
      <c r="I249" s="53"/>
    </row>
    <row r="250" spans="8:9" x14ac:dyDescent="0.25">
      <c r="H250" s="53">
        <v>42828</v>
      </c>
      <c r="I250" s="53"/>
    </row>
    <row r="251" spans="8:9" x14ac:dyDescent="0.25">
      <c r="H251" s="53">
        <v>42829</v>
      </c>
      <c r="I251" s="53"/>
    </row>
    <row r="252" spans="8:9" x14ac:dyDescent="0.25">
      <c r="H252" s="53">
        <v>42830</v>
      </c>
      <c r="I252" s="53"/>
    </row>
    <row r="253" spans="8:9" x14ac:dyDescent="0.25">
      <c r="H253" s="53">
        <v>42831</v>
      </c>
      <c r="I253" s="53"/>
    </row>
    <row r="254" spans="8:9" x14ac:dyDescent="0.25">
      <c r="H254" s="53">
        <v>42832</v>
      </c>
      <c r="I254" s="53"/>
    </row>
    <row r="255" spans="8:9" x14ac:dyDescent="0.25">
      <c r="H255" s="53">
        <v>42833</v>
      </c>
      <c r="I255" s="53"/>
    </row>
    <row r="256" spans="8:9" x14ac:dyDescent="0.25">
      <c r="H256" s="53">
        <v>42834</v>
      </c>
      <c r="I256" s="53"/>
    </row>
    <row r="257" spans="8:9" x14ac:dyDescent="0.25">
      <c r="H257" s="53">
        <v>42835</v>
      </c>
      <c r="I257" s="53"/>
    </row>
    <row r="258" spans="8:9" x14ac:dyDescent="0.25">
      <c r="H258" s="53">
        <v>42836</v>
      </c>
      <c r="I258" s="53"/>
    </row>
    <row r="259" spans="8:9" x14ac:dyDescent="0.25">
      <c r="H259" s="53">
        <v>42837</v>
      </c>
      <c r="I259" s="53"/>
    </row>
    <row r="260" spans="8:9" x14ac:dyDescent="0.25">
      <c r="H260" s="53">
        <v>42838</v>
      </c>
      <c r="I260" s="53"/>
    </row>
    <row r="261" spans="8:9" x14ac:dyDescent="0.25">
      <c r="H261" s="53">
        <v>42839</v>
      </c>
      <c r="I261" s="53"/>
    </row>
    <row r="262" spans="8:9" x14ac:dyDescent="0.25">
      <c r="H262" s="53">
        <v>42840</v>
      </c>
      <c r="I262" s="53"/>
    </row>
    <row r="263" spans="8:9" x14ac:dyDescent="0.25">
      <c r="H263" s="53">
        <v>42841</v>
      </c>
      <c r="I263" s="53"/>
    </row>
  </sheetData>
  <sheetProtection formatCells="0" formatColumns="0" formatRows="0" insertColumns="0" insertRows="0" insertHyperlinks="0" deleteColumns="0" deleteRows="0" sort="0" autoFilter="0" pivotTables="0"/>
  <scenarios current="0">
    <scenario name="a" locked="1" count="24" user="IRFAN AFRIDI" comment="Created by IRFAN AFRIDI on 8/18/2021">
      <inputCells r="B6" val="Name"/>
      <inputCells r="C6" val="Urdu"/>
      <inputCells r="D6" val="English"/>
      <inputCells r="E6" val="Maths"/>
      <inputCells r="F6" val="Physics"/>
      <inputCells r="G6" val="Islamiat"/>
      <inputCells r="B11" val="Mohsin"/>
      <inputCells r="C11" val="60"/>
      <inputCells r="D11" val="65"/>
      <inputCells r="E11" val="80"/>
      <inputCells r="F11" val="89"/>
      <inputCells r="G11" val="66"/>
      <inputCells r="B15" val="Hamid"/>
      <inputCells r="C15" val="75"/>
      <inputCells r="D15" val="70"/>
      <inputCells r="E15" val="90"/>
      <inputCells r="F15" val="93"/>
      <inputCells r="G15" val="70"/>
      <inputCells r="B18" val="Asad"/>
      <inputCells r="C18" val="69"/>
      <inputCells r="D18" val="66"/>
      <inputCells r="E18" val="78"/>
      <inputCells r="F18" val="12"/>
      <inputCells r="G18" val="45"/>
    </scenario>
  </scenarios>
  <sortState xmlns:xlrd2="http://schemas.microsoft.com/office/spreadsheetml/2017/richdata2" ref="B7:N18">
    <sortCondition descending="1" ref="J7:J18"/>
    <sortCondition ref="B7:B18"/>
  </sortState>
  <dataConsolidate/>
  <customSheetViews>
    <customSheetView guid="{D6BA57A5-118E-4B58-A351-7E1C36DA5B56}" scale="178" topLeftCell="D1">
      <selection activeCell="K22" sqref="K22"/>
      <pageMargins left="0.7" right="0.7" top="0.75" bottom="0.75" header="0.3" footer="0.3"/>
      <pageSetup orientation="landscape" horizontalDpi="300" verticalDpi="300" r:id="rId1"/>
    </customSheetView>
    <customSheetView guid="{05B8E57A-BB97-41F0-B6FB-606E79293C77}" scale="90" showPageBreaks="1" view="pageLayout" showRuler="0">
      <selection activeCell="B6" sqref="B6:K18"/>
      <pageMargins left="0.7" right="0.7" top="0.75" bottom="0.75" header="0.3" footer="0.3"/>
      <pageSetup orientation="landscape" horizontalDpi="300" verticalDpi="300" r:id="rId2"/>
    </customSheetView>
    <customSheetView guid="{3C013989-8552-4FE1-BB7E-C88994E2D13D}">
      <selection activeCell="K22" sqref="K22"/>
      <pageMargins left="0.7" right="0.7" top="0.75" bottom="0.75" header="0.3" footer="0.3"/>
      <pageSetup orientation="landscape" horizontalDpi="300" verticalDpi="300" r:id="rId3"/>
    </customSheetView>
    <customSheetView guid="{75B547B5-834C-4784-8C45-4C35B93C736F}" scale="140" showPageBreaks="1" topLeftCell="G9">
      <selection activeCell="N25" sqref="N25"/>
      <pageMargins left="0.7" right="0.7" top="0.75" bottom="0.75" header="0.3" footer="0.3"/>
      <pageSetup orientation="landscape" horizontalDpi="300" verticalDpi="300" r:id="rId4"/>
    </customSheetView>
  </customSheetViews>
  <mergeCells count="2">
    <mergeCell ref="R7:S7"/>
    <mergeCell ref="R11:S11"/>
  </mergeCells>
  <conditionalFormatting sqref="H7:H18">
    <cfRule type="top10" dxfId="52" priority="3" rank="3"/>
  </conditionalFormatting>
  <conditionalFormatting sqref="L7:L18">
    <cfRule type="containsText" dxfId="51" priority="1" operator="containsText" text="Pass">
      <formula>NOT(ISERROR(SEARCH("Pass",L7)))</formula>
    </cfRule>
    <cfRule type="containsText" dxfId="50" priority="2" operator="containsText" text="Fail">
      <formula>NOT(ISERROR(SEARCH("Fail",L7)))</formula>
    </cfRule>
  </conditionalFormatting>
  <dataValidations disablePrompts="1" xWindow="263" yWindow="336" count="3">
    <dataValidation type="list" allowBlank="1" showInputMessage="1" showErrorMessage="1" sqref="H32:I37" xr:uid="{00000000-0002-0000-0300-000000000000}">
      <formula1>$L$33:$L$35</formula1>
    </dataValidation>
    <dataValidation type="date" allowBlank="1" showInputMessage="1" showErrorMessage="1" sqref="H83:I263" xr:uid="{00000000-0002-0000-0300-000001000000}">
      <formula1>H71</formula1>
      <formula2>H79</formula2>
    </dataValidation>
    <dataValidation type="whole" allowBlank="1" showInputMessage="1" showErrorMessage="1" errorTitle="Error" error="Please enter valid number" promptTitle="Information" prompt="Enter value from 1 to 100" sqref="C7:G18" xr:uid="{00000000-0002-0000-0300-000002000000}">
      <formula1>1</formula1>
      <formula2>100</formula2>
    </dataValidation>
  </dataValidations>
  <hyperlinks>
    <hyperlink ref="J45" location="'if Logical'!A1" display="If Logical" xr:uid="{00000000-0004-0000-0300-000000000000}"/>
    <hyperlink ref="J47" location="'(if) Bank Salary Sheet'!A1" display="Bank Salary sheet" xr:uid="{00000000-0004-0000-0300-000001000000}"/>
    <hyperlink ref="J49" r:id="rId5" xr:uid="{00000000-0004-0000-0300-000002000000}"/>
  </hyperlinks>
  <pageMargins left="0.31" right="0.03" top="0.75" bottom="0.75" header="0.3" footer="0.3"/>
  <pageSetup paperSize="9" orientation="landscape" horizontalDpi="300" verticalDpi="300" r:id="rId6"/>
  <drawing r:id="rId7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displayXAxis="1" xr2:uid="{00000000-0003-0000-03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 Sheet'!B7:G7</xm:f>
              <xm:sqref>O3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60"/>
  <sheetViews>
    <sheetView workbookViewId="0">
      <selection activeCell="E18" sqref="E18"/>
    </sheetView>
  </sheetViews>
  <sheetFormatPr defaultRowHeight="15" x14ac:dyDescent="0.25"/>
  <cols>
    <col min="1" max="1" width="5" customWidth="1"/>
    <col min="2" max="2" width="31" customWidth="1"/>
    <col min="3" max="3" width="21.42578125" customWidth="1"/>
    <col min="4" max="5" width="12.42578125" customWidth="1"/>
    <col min="6" max="6" width="16.42578125" customWidth="1"/>
    <col min="7" max="8" width="19" customWidth="1"/>
    <col min="11" max="11" width="20.5703125" customWidth="1"/>
    <col min="12" max="12" width="13.42578125" customWidth="1"/>
    <col min="13" max="13" width="14.140625" customWidth="1"/>
  </cols>
  <sheetData>
    <row r="1" spans="1:13" ht="18.75" x14ac:dyDescent="0.3">
      <c r="A1" s="43">
        <v>1</v>
      </c>
      <c r="B1" s="44" t="s">
        <v>26</v>
      </c>
      <c r="D1" s="240" t="s">
        <v>26</v>
      </c>
      <c r="E1" s="240"/>
      <c r="F1" s="237" t="s">
        <v>26</v>
      </c>
      <c r="G1" s="237"/>
      <c r="H1" s="155"/>
      <c r="I1" s="232" t="s">
        <v>26</v>
      </c>
      <c r="J1" s="232"/>
      <c r="L1" s="232" t="s">
        <v>30</v>
      </c>
      <c r="M1" s="232"/>
    </row>
    <row r="2" spans="1:13" x14ac:dyDescent="0.25">
      <c r="A2" s="43">
        <v>2</v>
      </c>
      <c r="B2" s="44" t="s">
        <v>27</v>
      </c>
      <c r="D2" s="45" t="s">
        <v>28</v>
      </c>
      <c r="E2" s="45" t="s">
        <v>29</v>
      </c>
      <c r="F2" s="153" t="s">
        <v>482</v>
      </c>
      <c r="G2" s="153" t="s">
        <v>29</v>
      </c>
      <c r="H2" s="153"/>
      <c r="I2" s="6" t="s">
        <v>28</v>
      </c>
      <c r="J2" s="6" t="s">
        <v>29</v>
      </c>
      <c r="L2" s="6" t="s">
        <v>33</v>
      </c>
      <c r="M2" s="6" t="s">
        <v>34</v>
      </c>
    </row>
    <row r="3" spans="1:13" x14ac:dyDescent="0.25">
      <c r="A3" s="43">
        <v>3</v>
      </c>
      <c r="B3" s="44" t="s">
        <v>30</v>
      </c>
      <c r="D3" s="7">
        <v>1</v>
      </c>
      <c r="E3" s="7">
        <f>IF(D3=1,10000,IF(D3=2,20000,IF(D3=3,30000,IF(D3=4,40000,0))))</f>
        <v>10000</v>
      </c>
      <c r="F3" s="41">
        <v>1</v>
      </c>
      <c r="G3" s="41" t="str">
        <f>IF(F3=1,"10000",0)</f>
        <v>10000</v>
      </c>
      <c r="H3" s="41"/>
      <c r="I3" s="7">
        <v>1</v>
      </c>
      <c r="J3" s="7">
        <f>IF(I3=1,10000,IF(I3=2,20000,IF(I3=3,30000,IF(I3=4,40000,IF(I3=5,50000,IF(I3=6,60000,IF(I3=7,70000,IF(I3=8,80000,0))))))))</f>
        <v>10000</v>
      </c>
      <c r="L3" s="7" t="s">
        <v>35</v>
      </c>
      <c r="M3" s="7">
        <f>IF(L3="Coca Cola", 40, IF(L3="Chicken", 180, 0))</f>
        <v>40</v>
      </c>
    </row>
    <row r="4" spans="1:13" ht="23.25" x14ac:dyDescent="0.35">
      <c r="A4" s="43">
        <v>4</v>
      </c>
      <c r="B4" s="44" t="s">
        <v>31</v>
      </c>
      <c r="D4" s="7">
        <v>2</v>
      </c>
      <c r="E4" s="7">
        <f t="shared" ref="E4:E11" si="0">IF(D4=1,10000,IF(D4=2,20000,IF(D4=3,30000,IF(D4=4,40000,0))))</f>
        <v>20000</v>
      </c>
      <c r="F4" s="157">
        <f ca="1">10*RAND()</f>
        <v>8.9327159031772769</v>
      </c>
      <c r="G4" s="41">
        <f ca="1">IF(F4=1,"70000",0)</f>
        <v>0</v>
      </c>
      <c r="H4" s="41"/>
      <c r="I4" s="7">
        <v>2</v>
      </c>
      <c r="J4" s="7">
        <f t="shared" ref="J4:J11" si="1">IF(I4=1,10000,IF(I4=2,20000,IF(I4=3,30000,IF(I4=4,40000,IF(I4=5,50000,IF(I4=6,60000,IF(I4=7,70000,IF(I4=8,80000,0))))))))</f>
        <v>20000</v>
      </c>
      <c r="L4" s="7" t="s">
        <v>36</v>
      </c>
      <c r="M4" s="7">
        <f t="shared" ref="M4:M10" si="2">IF(L4="Coca Cola", 40, IF(L4="Chicken", 180, 0))</f>
        <v>180</v>
      </c>
    </row>
    <row r="5" spans="1:13" x14ac:dyDescent="0.25">
      <c r="D5" s="7">
        <v>3</v>
      </c>
      <c r="E5" s="7">
        <f t="shared" si="0"/>
        <v>30000</v>
      </c>
      <c r="F5" s="41">
        <v>3</v>
      </c>
      <c r="G5" s="41" t="str">
        <f>IF(F5=3,"300000",0)</f>
        <v>300000</v>
      </c>
      <c r="H5" s="41"/>
      <c r="I5" s="7">
        <v>3</v>
      </c>
      <c r="J5" s="7">
        <f t="shared" si="1"/>
        <v>30000</v>
      </c>
      <c r="L5" s="7"/>
      <c r="M5" s="7">
        <f t="shared" si="2"/>
        <v>0</v>
      </c>
    </row>
    <row r="6" spans="1:13" x14ac:dyDescent="0.25">
      <c r="D6" s="7">
        <v>4</v>
      </c>
      <c r="E6" s="7">
        <f t="shared" si="0"/>
        <v>40000</v>
      </c>
      <c r="F6" s="41"/>
      <c r="G6" s="41"/>
      <c r="H6" s="41"/>
      <c r="I6" s="7">
        <v>4</v>
      </c>
      <c r="J6" s="7">
        <f t="shared" si="1"/>
        <v>40000</v>
      </c>
      <c r="L6" s="7"/>
      <c r="M6" s="7">
        <f t="shared" si="2"/>
        <v>0</v>
      </c>
    </row>
    <row r="7" spans="1:13" x14ac:dyDescent="0.25">
      <c r="B7">
        <v>36.6</v>
      </c>
      <c r="D7" s="7">
        <v>5</v>
      </c>
      <c r="E7" s="7">
        <f t="shared" si="0"/>
        <v>0</v>
      </c>
      <c r="F7" s="41"/>
      <c r="G7" s="41"/>
      <c r="H7" s="41"/>
      <c r="I7" s="7">
        <v>5</v>
      </c>
      <c r="J7" s="7">
        <f t="shared" si="1"/>
        <v>50000</v>
      </c>
      <c r="L7" s="7"/>
      <c r="M7" s="7">
        <f t="shared" si="2"/>
        <v>0</v>
      </c>
    </row>
    <row r="8" spans="1:13" x14ac:dyDescent="0.25">
      <c r="B8">
        <v>36.5</v>
      </c>
      <c r="D8" s="7">
        <v>6</v>
      </c>
      <c r="E8" s="7">
        <f t="shared" si="0"/>
        <v>0</v>
      </c>
      <c r="F8" s="41"/>
      <c r="G8" s="41"/>
      <c r="H8" s="41"/>
      <c r="I8" s="7">
        <v>6</v>
      </c>
      <c r="J8" s="7">
        <f t="shared" si="1"/>
        <v>60000</v>
      </c>
      <c r="L8" s="7"/>
      <c r="M8" s="7">
        <f t="shared" si="2"/>
        <v>0</v>
      </c>
    </row>
    <row r="9" spans="1:13" x14ac:dyDescent="0.25">
      <c r="B9">
        <f>36.4</f>
        <v>36.4</v>
      </c>
      <c r="D9" s="7">
        <v>1</v>
      </c>
      <c r="E9" s="7">
        <f t="shared" si="0"/>
        <v>10000</v>
      </c>
      <c r="F9" s="41"/>
      <c r="G9" s="41"/>
      <c r="H9" s="41"/>
      <c r="I9" s="7">
        <v>7</v>
      </c>
      <c r="J9" s="7">
        <f t="shared" si="1"/>
        <v>70000</v>
      </c>
      <c r="L9" s="7"/>
      <c r="M9" s="7">
        <f t="shared" si="2"/>
        <v>0</v>
      </c>
    </row>
    <row r="10" spans="1:13" x14ac:dyDescent="0.25">
      <c r="D10" s="7">
        <v>2</v>
      </c>
      <c r="E10" s="7">
        <f t="shared" si="0"/>
        <v>20000</v>
      </c>
      <c r="F10" s="41"/>
      <c r="G10" s="41"/>
      <c r="H10" s="41"/>
      <c r="I10" s="7">
        <v>8</v>
      </c>
      <c r="J10" s="7">
        <f t="shared" si="1"/>
        <v>80000</v>
      </c>
      <c r="L10" s="7"/>
      <c r="M10" s="7">
        <f t="shared" si="2"/>
        <v>0</v>
      </c>
    </row>
    <row r="11" spans="1:13" x14ac:dyDescent="0.25">
      <c r="B11" t="e">
        <f ca="1">CELL(36.5)</f>
        <v>#VALUE!</v>
      </c>
      <c r="D11" s="7">
        <v>3</v>
      </c>
      <c r="E11" s="7">
        <f t="shared" si="0"/>
        <v>30000</v>
      </c>
      <c r="F11" s="41"/>
      <c r="G11" s="41"/>
      <c r="H11" s="41"/>
      <c r="I11" s="7">
        <v>9</v>
      </c>
      <c r="J11" s="7">
        <f t="shared" si="1"/>
        <v>0</v>
      </c>
      <c r="L11" s="7" t="s">
        <v>37</v>
      </c>
      <c r="M11" s="7">
        <f>SUM(M3:M10)</f>
        <v>220</v>
      </c>
    </row>
    <row r="13" spans="1:13" x14ac:dyDescent="0.25">
      <c r="I13" s="232" t="s">
        <v>32</v>
      </c>
      <c r="J13" s="232"/>
      <c r="L13" s="232" t="s">
        <v>31</v>
      </c>
      <c r="M13" s="232"/>
    </row>
    <row r="14" spans="1:13" ht="26.25" x14ac:dyDescent="0.4">
      <c r="B14" s="156">
        <f>36.987654321</f>
        <v>36.987654321000001</v>
      </c>
      <c r="D14" s="231" t="s">
        <v>27</v>
      </c>
      <c r="E14" s="231"/>
      <c r="F14" s="233" t="s">
        <v>483</v>
      </c>
      <c r="G14" s="234"/>
      <c r="H14" s="160"/>
      <c r="I14" s="158" t="s">
        <v>7</v>
      </c>
      <c r="J14" s="6" t="s">
        <v>8</v>
      </c>
      <c r="L14" s="6" t="s">
        <v>38</v>
      </c>
      <c r="M14" s="6" t="s">
        <v>39</v>
      </c>
    </row>
    <row r="15" spans="1:13" ht="49.5" customHeight="1" x14ac:dyDescent="0.25">
      <c r="D15" s="18" t="s">
        <v>7</v>
      </c>
      <c r="E15" s="18" t="s">
        <v>8</v>
      </c>
      <c r="F15" s="159" t="s">
        <v>484</v>
      </c>
      <c r="G15" s="159" t="s">
        <v>8</v>
      </c>
      <c r="H15" s="161"/>
      <c r="I15" s="147">
        <v>80</v>
      </c>
      <c r="J15" s="7" t="str">
        <f t="shared" ref="J15:J23" si="3">IF(I15&gt;=80, "A-1", IF(I15&gt;=70, "A", IF(I15&gt;=60, "B", IF(I15&gt;=45, "C", "Idiot"))))</f>
        <v>A-1</v>
      </c>
      <c r="L15" s="7" t="s">
        <v>40</v>
      </c>
      <c r="M15" s="7" t="str">
        <f>IF(L15="A", "Apple", IF(L15="B", "Banana", IF(L15="C", "Cat", IF(L15="D", "Go Nawaz Go", "Go Zardari Go"))))</f>
        <v>Apple</v>
      </c>
    </row>
    <row r="16" spans="1:13" ht="54" customHeight="1" x14ac:dyDescent="0.25">
      <c r="B16" s="230" t="s">
        <v>137</v>
      </c>
      <c r="D16" s="7">
        <v>100</v>
      </c>
      <c r="E16" s="7" t="str">
        <f>IF(D16&gt;=80, "A-1", IF(D16&gt;=70, "A", IF(D16&gt;=65, "B", IF(D16&gt;=45, "C", "---"))))</f>
        <v>A-1</v>
      </c>
      <c r="F16" s="162">
        <v>49</v>
      </c>
      <c r="G16" s="162" t="str">
        <f>IF(F16&gt;=90,"A+",IF(F16&gt;=80,"A",IF(F16&gt;=70,"B",IF(F16&gt;=60,"C",IF(F16&gt;=50,"D","---")))))</f>
        <v>---</v>
      </c>
      <c r="H16" s="147" t="s">
        <v>485</v>
      </c>
      <c r="I16" s="147">
        <v>81</v>
      </c>
      <c r="J16" s="7" t="str">
        <f t="shared" si="3"/>
        <v>A-1</v>
      </c>
      <c r="L16" s="7" t="s">
        <v>41</v>
      </c>
      <c r="M16" s="7" t="str">
        <f t="shared" ref="M16:M23" si="4">IF(L16="A", "Apple", IF(L16="B", "Banana", IF(L16="C", "Cat", IF(L16="D", "Go Nawaz Go", "Go Zardari Go"))))</f>
        <v>Banana</v>
      </c>
    </row>
    <row r="17" spans="2:13" ht="15" customHeight="1" x14ac:dyDescent="0.25">
      <c r="B17" s="230"/>
      <c r="D17" s="7">
        <v>85</v>
      </c>
      <c r="E17" s="7" t="str">
        <f t="shared" ref="E17:E31" si="5">IF(D17&gt;=80, "A-1", IF(D17&gt;=70, "A", IF(D17&gt;=65, "B", IF(D17&gt;=45, "C", "---"))))</f>
        <v>A-1</v>
      </c>
      <c r="F17" s="7">
        <v>80</v>
      </c>
      <c r="G17" s="7" t="str">
        <f>IF(F17&gt;=80,"A","")</f>
        <v>A</v>
      </c>
      <c r="H17" s="147" t="s">
        <v>486</v>
      </c>
      <c r="I17" s="147">
        <v>100</v>
      </c>
      <c r="J17" s="7" t="str">
        <f t="shared" si="3"/>
        <v>A-1</v>
      </c>
      <c r="L17" s="7" t="s">
        <v>42</v>
      </c>
      <c r="M17" s="7" t="str">
        <f t="shared" si="4"/>
        <v>Cat</v>
      </c>
    </row>
    <row r="18" spans="2:13" ht="15" customHeight="1" x14ac:dyDescent="0.25">
      <c r="B18" s="230"/>
      <c r="D18" s="7">
        <v>80</v>
      </c>
      <c r="E18" s="7" t="str">
        <f t="shared" si="5"/>
        <v>A-1</v>
      </c>
      <c r="F18" s="7">
        <v>70</v>
      </c>
      <c r="G18" s="7" t="str">
        <f>IF(F18&gt;=70,"B","")</f>
        <v>B</v>
      </c>
      <c r="H18" s="147" t="s">
        <v>487</v>
      </c>
      <c r="I18" s="147">
        <v>79</v>
      </c>
      <c r="J18" s="7" t="str">
        <f t="shared" si="3"/>
        <v>A</v>
      </c>
      <c r="L18" s="7" t="s">
        <v>43</v>
      </c>
      <c r="M18" s="7" t="str">
        <f t="shared" si="4"/>
        <v>Go Nawaz Go</v>
      </c>
    </row>
    <row r="19" spans="2:13" ht="15" customHeight="1" x14ac:dyDescent="0.25">
      <c r="B19" s="230"/>
      <c r="D19" s="7">
        <v>78</v>
      </c>
      <c r="E19" s="7" t="str">
        <f t="shared" si="5"/>
        <v>A</v>
      </c>
      <c r="F19" s="7">
        <v>60</v>
      </c>
      <c r="G19" s="7" t="str">
        <f>IF(F19&gt;=60,"C","")</f>
        <v>C</v>
      </c>
      <c r="H19" s="147" t="s">
        <v>488</v>
      </c>
      <c r="I19" s="147">
        <v>79.989999999999995</v>
      </c>
      <c r="J19" s="7" t="str">
        <f t="shared" si="3"/>
        <v>A</v>
      </c>
      <c r="L19" s="7" t="s">
        <v>40</v>
      </c>
      <c r="M19" s="7" t="str">
        <f t="shared" si="4"/>
        <v>Apple</v>
      </c>
    </row>
    <row r="20" spans="2:13" ht="15" customHeight="1" x14ac:dyDescent="0.25">
      <c r="B20" s="230"/>
      <c r="D20" s="7">
        <v>79</v>
      </c>
      <c r="E20" s="7" t="str">
        <f t="shared" si="5"/>
        <v>A</v>
      </c>
      <c r="F20" s="7">
        <v>50</v>
      </c>
      <c r="G20" s="7" t="str">
        <f>IF(F20&gt;=50,"D","")</f>
        <v>D</v>
      </c>
      <c r="H20" s="147"/>
      <c r="I20" s="147">
        <v>70</v>
      </c>
      <c r="J20" s="7" t="str">
        <f t="shared" si="3"/>
        <v>A</v>
      </c>
      <c r="L20" s="7" t="s">
        <v>41</v>
      </c>
      <c r="M20" s="7" t="str">
        <f t="shared" si="4"/>
        <v>Banana</v>
      </c>
    </row>
    <row r="21" spans="2:13" ht="15" customHeight="1" x14ac:dyDescent="0.25">
      <c r="B21" s="230"/>
      <c r="D21" s="7">
        <v>65</v>
      </c>
      <c r="E21" s="7" t="str">
        <f t="shared" si="5"/>
        <v>B</v>
      </c>
      <c r="F21" s="7">
        <v>49</v>
      </c>
      <c r="G21" s="7" t="str">
        <f>IF(F21&gt;=0,"---","")</f>
        <v>---</v>
      </c>
      <c r="H21" s="147"/>
      <c r="I21" s="147">
        <v>69.989999999999995</v>
      </c>
      <c r="J21" s="7" t="str">
        <f t="shared" si="3"/>
        <v>B</v>
      </c>
      <c r="L21" s="7" t="s">
        <v>42</v>
      </c>
      <c r="M21" s="7" t="str">
        <f t="shared" si="4"/>
        <v>Cat</v>
      </c>
    </row>
    <row r="22" spans="2:13" ht="15" customHeight="1" x14ac:dyDescent="0.25">
      <c r="B22" s="230"/>
      <c r="D22" s="7">
        <v>50</v>
      </c>
      <c r="E22" s="7" t="str">
        <f t="shared" si="5"/>
        <v>C</v>
      </c>
      <c r="F22" s="7" t="s">
        <v>438</v>
      </c>
      <c r="G22" s="7"/>
      <c r="H22" s="147"/>
      <c r="I22" s="147">
        <v>45</v>
      </c>
      <c r="J22" s="7" t="str">
        <f t="shared" si="3"/>
        <v>C</v>
      </c>
      <c r="L22" s="7" t="s">
        <v>43</v>
      </c>
      <c r="M22" s="7" t="str">
        <f t="shared" si="4"/>
        <v>Go Nawaz Go</v>
      </c>
    </row>
    <row r="23" spans="2:13" ht="15" customHeight="1" x14ac:dyDescent="0.25">
      <c r="B23" s="230"/>
      <c r="D23" s="7">
        <v>40</v>
      </c>
      <c r="E23" s="7" t="str">
        <f t="shared" si="5"/>
        <v>---</v>
      </c>
      <c r="F23" s="7"/>
      <c r="G23" s="7" t="str">
        <f t="shared" ref="G23:G30" si="6">IF(F23&gt;=90,"A+","")</f>
        <v/>
      </c>
      <c r="H23" s="147"/>
      <c r="I23" s="147">
        <v>35</v>
      </c>
      <c r="J23" s="7" t="str">
        <f t="shared" si="3"/>
        <v>Idiot</v>
      </c>
      <c r="L23" s="7" t="s">
        <v>44</v>
      </c>
      <c r="M23" s="7" t="str">
        <f t="shared" si="4"/>
        <v>Go Zardari Go</v>
      </c>
    </row>
    <row r="24" spans="2:13" ht="15" customHeight="1" x14ac:dyDescent="0.25">
      <c r="B24" s="230"/>
      <c r="D24" s="7">
        <v>48</v>
      </c>
      <c r="E24" s="7" t="str">
        <f t="shared" si="5"/>
        <v>C</v>
      </c>
      <c r="F24" s="7"/>
      <c r="G24" s="7" t="str">
        <f t="shared" si="6"/>
        <v/>
      </c>
      <c r="H24" s="38"/>
    </row>
    <row r="25" spans="2:13" x14ac:dyDescent="0.25">
      <c r="D25" s="7">
        <v>90</v>
      </c>
      <c r="E25" s="7" t="str">
        <f t="shared" si="5"/>
        <v>A-1</v>
      </c>
      <c r="F25" s="7"/>
      <c r="G25" s="7" t="str">
        <f t="shared" si="6"/>
        <v/>
      </c>
      <c r="H25" s="38"/>
    </row>
    <row r="26" spans="2:13" x14ac:dyDescent="0.25">
      <c r="D26" s="7">
        <v>78</v>
      </c>
      <c r="E26" s="7" t="str">
        <f t="shared" si="5"/>
        <v>A</v>
      </c>
      <c r="F26" s="7"/>
      <c r="G26" s="7" t="str">
        <f t="shared" si="6"/>
        <v/>
      </c>
      <c r="H26" s="38"/>
    </row>
    <row r="27" spans="2:13" x14ac:dyDescent="0.25">
      <c r="D27" s="7">
        <v>70</v>
      </c>
      <c r="E27" s="7" t="str">
        <f t="shared" si="5"/>
        <v>A</v>
      </c>
      <c r="F27" s="7"/>
      <c r="G27" s="7" t="str">
        <f t="shared" si="6"/>
        <v/>
      </c>
      <c r="H27" s="38"/>
    </row>
    <row r="28" spans="2:13" x14ac:dyDescent="0.25">
      <c r="B28" t="s">
        <v>243</v>
      </c>
      <c r="D28" s="7">
        <v>65</v>
      </c>
      <c r="E28" s="7" t="str">
        <f t="shared" si="5"/>
        <v>B</v>
      </c>
      <c r="F28" s="7"/>
      <c r="G28" s="7" t="str">
        <f t="shared" si="6"/>
        <v/>
      </c>
      <c r="H28" s="38"/>
    </row>
    <row r="29" spans="2:13" x14ac:dyDescent="0.25">
      <c r="B29" t="s">
        <v>244</v>
      </c>
      <c r="D29" s="7">
        <v>68</v>
      </c>
      <c r="E29" s="7" t="str">
        <f t="shared" si="5"/>
        <v>B</v>
      </c>
      <c r="F29" s="7"/>
      <c r="G29" s="7" t="str">
        <f t="shared" si="6"/>
        <v/>
      </c>
      <c r="H29" s="38"/>
    </row>
    <row r="30" spans="2:13" x14ac:dyDescent="0.25">
      <c r="D30" s="7">
        <v>45</v>
      </c>
      <c r="E30" s="7" t="str">
        <f t="shared" si="5"/>
        <v>C</v>
      </c>
      <c r="F30" s="7"/>
      <c r="G30" s="7" t="str">
        <f t="shared" si="6"/>
        <v/>
      </c>
      <c r="H30" s="38"/>
    </row>
    <row r="31" spans="2:13" x14ac:dyDescent="0.25">
      <c r="D31" s="7">
        <v>75</v>
      </c>
      <c r="E31" s="7" t="str">
        <f t="shared" si="5"/>
        <v>A</v>
      </c>
      <c r="F31" s="7"/>
      <c r="G31" s="7">
        <v>80</v>
      </c>
      <c r="H31" s="38"/>
    </row>
    <row r="33" spans="2:8" ht="21" x14ac:dyDescent="0.35">
      <c r="D33" s="235" t="s">
        <v>195</v>
      </c>
      <c r="E33" s="236"/>
      <c r="F33" s="241" t="s">
        <v>489</v>
      </c>
      <c r="G33" s="242"/>
    </row>
    <row r="34" spans="2:8" ht="15.75" x14ac:dyDescent="0.25">
      <c r="D34" s="21" t="s">
        <v>196</v>
      </c>
      <c r="E34" s="21" t="s">
        <v>34</v>
      </c>
      <c r="F34" s="164" t="s">
        <v>196</v>
      </c>
      <c r="G34" s="164" t="s">
        <v>34</v>
      </c>
    </row>
    <row r="35" spans="2:8" x14ac:dyDescent="0.25">
      <c r="B35" t="s">
        <v>197</v>
      </c>
      <c r="D35" s="7" t="s">
        <v>197</v>
      </c>
      <c r="E35" s="7">
        <f>IF(D35="Tea",80,IF(D35="Barbeque",280,IF(D35="Biryani",300,IF(D35="Burger",320,IF(D35="Bread",30,0)))))</f>
        <v>80</v>
      </c>
      <c r="F35" s="7" t="s">
        <v>493</v>
      </c>
      <c r="G35" s="7" t="str">
        <f>IF(F35="Tea",80,"0")</f>
        <v>0</v>
      </c>
      <c r="H35" t="s">
        <v>529</v>
      </c>
    </row>
    <row r="36" spans="2:8" x14ac:dyDescent="0.25">
      <c r="B36" t="s">
        <v>200</v>
      </c>
      <c r="D36" s="7" t="s">
        <v>200</v>
      </c>
      <c r="E36" s="7">
        <f t="shared" ref="E36:E46" si="7">IF(D36="Tea",80,IF(D36="Barbeque",280,IF(D36="Biryani",300,IF(D36="Burger",320,IF(D36="Bread",30,0)))))</f>
        <v>300</v>
      </c>
      <c r="F36" s="7" t="s">
        <v>198</v>
      </c>
      <c r="G36" s="7" t="str">
        <f>IF(F36="Biryani",250,"0")</f>
        <v>0</v>
      </c>
      <c r="H36" s="7" t="s">
        <v>197</v>
      </c>
    </row>
    <row r="37" spans="2:8" x14ac:dyDescent="0.25">
      <c r="B37" t="s">
        <v>199</v>
      </c>
      <c r="D37" s="7" t="s">
        <v>199</v>
      </c>
      <c r="E37" s="7">
        <f t="shared" si="7"/>
        <v>280</v>
      </c>
      <c r="F37" s="7" t="s">
        <v>494</v>
      </c>
      <c r="G37" s="7" t="str">
        <f>IF(F37="Barbeque",550,"0")</f>
        <v>0</v>
      </c>
      <c r="H37" s="7" t="s">
        <v>200</v>
      </c>
    </row>
    <row r="38" spans="2:8" x14ac:dyDescent="0.25">
      <c r="B38" t="s">
        <v>198</v>
      </c>
      <c r="D38" s="7" t="s">
        <v>198</v>
      </c>
      <c r="E38" s="7">
        <f t="shared" si="7"/>
        <v>320</v>
      </c>
      <c r="F38" s="7"/>
      <c r="G38" s="7" t="str">
        <f>IF(F38="Burger",280,"0")</f>
        <v>0</v>
      </c>
      <c r="H38" s="7" t="s">
        <v>199</v>
      </c>
    </row>
    <row r="39" spans="2:8" x14ac:dyDescent="0.25">
      <c r="B39" t="s">
        <v>491</v>
      </c>
      <c r="D39" s="7" t="s">
        <v>530</v>
      </c>
      <c r="E39" s="7">
        <f t="shared" si="7"/>
        <v>30</v>
      </c>
      <c r="F39" s="7"/>
      <c r="G39" s="7" t="str">
        <f t="shared" ref="G39:G46" si="8">IF(F39="Tea",80,"0")</f>
        <v>0</v>
      </c>
      <c r="H39" s="7" t="s">
        <v>198</v>
      </c>
    </row>
    <row r="40" spans="2:8" x14ac:dyDescent="0.25">
      <c r="B40" t="s">
        <v>492</v>
      </c>
      <c r="D40" s="7"/>
      <c r="E40" s="7">
        <f t="shared" si="7"/>
        <v>0</v>
      </c>
      <c r="F40" s="7"/>
      <c r="G40" s="7" t="str">
        <f t="shared" si="8"/>
        <v>0</v>
      </c>
      <c r="H40" s="174" t="s">
        <v>530</v>
      </c>
    </row>
    <row r="41" spans="2:8" x14ac:dyDescent="0.25">
      <c r="B41" t="s">
        <v>493</v>
      </c>
      <c r="D41" s="7"/>
      <c r="E41" s="7">
        <f t="shared" si="7"/>
        <v>0</v>
      </c>
      <c r="F41" s="7"/>
      <c r="G41" s="7" t="str">
        <f t="shared" si="8"/>
        <v>0</v>
      </c>
    </row>
    <row r="42" spans="2:8" x14ac:dyDescent="0.25">
      <c r="B42" t="s">
        <v>494</v>
      </c>
      <c r="D42" s="7"/>
      <c r="E42" s="7">
        <f t="shared" si="7"/>
        <v>0</v>
      </c>
      <c r="F42" s="7"/>
      <c r="G42" s="7" t="str">
        <f t="shared" si="8"/>
        <v>0</v>
      </c>
    </row>
    <row r="43" spans="2:8" x14ac:dyDescent="0.25">
      <c r="B43" t="s">
        <v>495</v>
      </c>
      <c r="D43" s="7"/>
      <c r="E43" s="7">
        <f t="shared" si="7"/>
        <v>0</v>
      </c>
      <c r="F43" s="7"/>
      <c r="G43" s="7" t="str">
        <f t="shared" si="8"/>
        <v>0</v>
      </c>
    </row>
    <row r="44" spans="2:8" x14ac:dyDescent="0.25">
      <c r="B44" t="s">
        <v>496</v>
      </c>
      <c r="D44" s="7"/>
      <c r="E44" s="7">
        <f t="shared" si="7"/>
        <v>0</v>
      </c>
      <c r="F44" s="7"/>
      <c r="G44" s="7" t="str">
        <f t="shared" si="8"/>
        <v>0</v>
      </c>
    </row>
    <row r="45" spans="2:8" x14ac:dyDescent="0.25">
      <c r="D45" s="7"/>
      <c r="E45" s="7">
        <f t="shared" si="7"/>
        <v>0</v>
      </c>
      <c r="F45" s="7"/>
      <c r="G45" s="7" t="str">
        <f t="shared" si="8"/>
        <v>0</v>
      </c>
    </row>
    <row r="46" spans="2:8" x14ac:dyDescent="0.25">
      <c r="D46" s="7"/>
      <c r="E46" s="7">
        <f t="shared" si="7"/>
        <v>0</v>
      </c>
      <c r="F46" s="7"/>
      <c r="G46" s="7" t="str">
        <f t="shared" si="8"/>
        <v>0</v>
      </c>
    </row>
    <row r="47" spans="2:8" ht="21" x14ac:dyDescent="0.25">
      <c r="D47" s="21" t="s">
        <v>37</v>
      </c>
      <c r="E47" s="21">
        <f>SUM(E35:E46)</f>
        <v>1010</v>
      </c>
      <c r="F47" s="163" t="s">
        <v>490</v>
      </c>
      <c r="G47" s="165">
        <f>SUM(G35:G46)</f>
        <v>0</v>
      </c>
    </row>
    <row r="49" spans="4:5" x14ac:dyDescent="0.25">
      <c r="D49" s="238" t="s">
        <v>201</v>
      </c>
      <c r="E49" s="239"/>
    </row>
    <row r="50" spans="4:5" x14ac:dyDescent="0.25">
      <c r="D50" s="18" t="s">
        <v>38</v>
      </c>
      <c r="E50" s="18" t="s">
        <v>39</v>
      </c>
    </row>
    <row r="51" spans="4:5" x14ac:dyDescent="0.25">
      <c r="D51" s="7" t="s">
        <v>40</v>
      </c>
      <c r="E51" s="7" t="str">
        <f>IF(D51="A","Apple",IF(D51="B","Banana",IF(D51="C","Cat",IF(D51="D","Dog","---"))))</f>
        <v>Apple</v>
      </c>
    </row>
    <row r="52" spans="4:5" x14ac:dyDescent="0.25">
      <c r="D52" s="7" t="s">
        <v>41</v>
      </c>
      <c r="E52" s="7" t="str">
        <f t="shared" ref="E52:E59" si="9">IF(D52="A","Apple",IF(D52="B","Banana",IF(D52="C","Cat",IF(D52="D","Dog","---"))))</f>
        <v>Banana</v>
      </c>
    </row>
    <row r="53" spans="4:5" x14ac:dyDescent="0.25">
      <c r="D53" s="7" t="s">
        <v>42</v>
      </c>
      <c r="E53" s="7" t="str">
        <f t="shared" si="9"/>
        <v>Cat</v>
      </c>
    </row>
    <row r="54" spans="4:5" x14ac:dyDescent="0.25">
      <c r="D54" s="7" t="s">
        <v>43</v>
      </c>
      <c r="E54" s="7" t="str">
        <f t="shared" si="9"/>
        <v>Dog</v>
      </c>
    </row>
    <row r="55" spans="4:5" x14ac:dyDescent="0.25">
      <c r="D55" s="7" t="s">
        <v>40</v>
      </c>
      <c r="E55" s="7" t="str">
        <f t="shared" si="9"/>
        <v>Apple</v>
      </c>
    </row>
    <row r="56" spans="4:5" x14ac:dyDescent="0.25">
      <c r="D56" s="7" t="s">
        <v>41</v>
      </c>
      <c r="E56" s="7" t="str">
        <f t="shared" si="9"/>
        <v>Banana</v>
      </c>
    </row>
    <row r="57" spans="4:5" x14ac:dyDescent="0.25">
      <c r="D57" s="7" t="s">
        <v>42</v>
      </c>
      <c r="E57" s="7" t="str">
        <f t="shared" si="9"/>
        <v>Cat</v>
      </c>
    </row>
    <row r="58" spans="4:5" x14ac:dyDescent="0.25">
      <c r="D58" s="7" t="s">
        <v>43</v>
      </c>
      <c r="E58" s="7" t="str">
        <f t="shared" si="9"/>
        <v>Dog</v>
      </c>
    </row>
    <row r="59" spans="4:5" x14ac:dyDescent="0.25">
      <c r="D59" s="7" t="s">
        <v>202</v>
      </c>
      <c r="E59" s="7" t="str">
        <f t="shared" si="9"/>
        <v>---</v>
      </c>
    </row>
    <row r="60" spans="4:5" x14ac:dyDescent="0.25">
      <c r="D60" s="7"/>
      <c r="E60" s="7"/>
    </row>
  </sheetData>
  <customSheetViews>
    <customSheetView guid="{D6BA57A5-118E-4B58-A351-7E1C36DA5B56}" topLeftCell="A28">
      <selection activeCell="H39" sqref="H39"/>
      <pageMargins left="0.7" right="0.7" top="0.75" bottom="0.75" header="0.3" footer="0.3"/>
      <pageSetup orientation="portrait" horizontalDpi="300" verticalDpi="300" r:id="rId1"/>
    </customSheetView>
    <customSheetView guid="{05B8E57A-BB97-41F0-B6FB-606E79293C77}">
      <pageMargins left="0.7" right="0.7" top="0.75" bottom="0.75" header="0.3" footer="0.3"/>
      <pageSetup orientation="portrait" horizontalDpi="300" verticalDpi="300" r:id="rId2"/>
    </customSheetView>
    <customSheetView guid="{3C013989-8552-4FE1-BB7E-C88994E2D13D}" topLeftCell="A28">
      <selection activeCell="H39" sqref="H39"/>
      <pageMargins left="0.7" right="0.7" top="0.75" bottom="0.75" header="0.3" footer="0.3"/>
      <pageSetup orientation="portrait" horizontalDpi="300" verticalDpi="300" r:id="rId3"/>
    </customSheetView>
    <customSheetView guid="{75B547B5-834C-4784-8C45-4C35B93C736F}" topLeftCell="A28">
      <selection activeCell="H39" sqref="H39"/>
      <pageMargins left="0.7" right="0.7" top="0.75" bottom="0.75" header="0.3" footer="0.3"/>
      <pageSetup orientation="portrait" horizontalDpi="300" verticalDpi="300" r:id="rId4"/>
    </customSheetView>
  </customSheetViews>
  <mergeCells count="12">
    <mergeCell ref="L1:M1"/>
    <mergeCell ref="L13:M13"/>
    <mergeCell ref="D33:E33"/>
    <mergeCell ref="F1:G1"/>
    <mergeCell ref="D49:E49"/>
    <mergeCell ref="D1:E1"/>
    <mergeCell ref="F33:G33"/>
    <mergeCell ref="B16:B24"/>
    <mergeCell ref="D14:E14"/>
    <mergeCell ref="I1:J1"/>
    <mergeCell ref="I13:J13"/>
    <mergeCell ref="F14:G14"/>
  </mergeCells>
  <dataValidations count="2">
    <dataValidation type="list" allowBlank="1" showInputMessage="1" showErrorMessage="1" sqref="F35:F46" xr:uid="{00000000-0002-0000-0400-000000000000}">
      <formula1>$B$35:$B$44</formula1>
    </dataValidation>
    <dataValidation type="list" allowBlank="1" showInputMessage="1" showErrorMessage="1" sqref="D35:D46" xr:uid="{00000000-0002-0000-0400-000001000000}">
      <formula1>$H$36:$H$40</formula1>
    </dataValidation>
  </dataValidations>
  <pageMargins left="0.7" right="0.7" top="0.75" bottom="0.75" header="0.3" footer="0.3"/>
  <pageSetup orientation="portrait" horizontalDpi="300" verticalDpi="30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30"/>
  <sheetViews>
    <sheetView workbookViewId="0">
      <selection activeCell="A3" sqref="A3"/>
    </sheetView>
  </sheetViews>
  <sheetFormatPr defaultRowHeight="15" x14ac:dyDescent="0.25"/>
  <cols>
    <col min="1" max="1" width="32.5703125" customWidth="1"/>
    <col min="2" max="2" width="15.140625" customWidth="1"/>
    <col min="3" max="3" width="14.85546875" customWidth="1"/>
    <col min="4" max="4" width="4.42578125" customWidth="1"/>
    <col min="5" max="5" width="30.85546875" customWidth="1"/>
    <col min="6" max="6" width="20.28515625" customWidth="1"/>
    <col min="7" max="7" width="19.28515625" customWidth="1"/>
  </cols>
  <sheetData>
    <row r="1" spans="1:7" x14ac:dyDescent="0.25">
      <c r="A1" s="243" t="s">
        <v>48</v>
      </c>
      <c r="B1" s="243"/>
      <c r="C1" s="243"/>
      <c r="E1" s="243" t="s">
        <v>112</v>
      </c>
      <c r="F1" s="243"/>
      <c r="G1" s="243"/>
    </row>
    <row r="2" spans="1:7" x14ac:dyDescent="0.25">
      <c r="A2" s="9" t="s">
        <v>45</v>
      </c>
      <c r="B2" s="9" t="s">
        <v>46</v>
      </c>
      <c r="C2" s="9" t="s">
        <v>47</v>
      </c>
      <c r="E2" s="9" t="s">
        <v>45</v>
      </c>
      <c r="F2" s="9" t="s">
        <v>46</v>
      </c>
      <c r="G2" s="9" t="s">
        <v>47</v>
      </c>
    </row>
    <row r="3" spans="1:7" x14ac:dyDescent="0.25">
      <c r="A3" s="10" t="s">
        <v>541</v>
      </c>
      <c r="B3" s="11">
        <v>3400</v>
      </c>
      <c r="C3" s="11">
        <v>60</v>
      </c>
      <c r="E3" s="10">
        <v>42020</v>
      </c>
      <c r="F3" s="11">
        <v>4500</v>
      </c>
      <c r="G3" s="11">
        <v>200</v>
      </c>
    </row>
    <row r="4" spans="1:7" x14ac:dyDescent="0.25">
      <c r="A4" s="10">
        <v>45828</v>
      </c>
      <c r="B4" s="11">
        <v>1200</v>
      </c>
      <c r="C4" s="11">
        <v>0</v>
      </c>
      <c r="E4" s="10">
        <v>42021</v>
      </c>
      <c r="F4" s="11">
        <v>3000</v>
      </c>
      <c r="G4" s="11">
        <v>100</v>
      </c>
    </row>
    <row r="5" spans="1:7" x14ac:dyDescent="0.25">
      <c r="A5" s="10">
        <v>45829</v>
      </c>
      <c r="B5" s="11">
        <v>3000</v>
      </c>
      <c r="C5" s="11">
        <v>1200</v>
      </c>
      <c r="E5" s="10">
        <v>42022</v>
      </c>
      <c r="F5" s="11">
        <v>5000</v>
      </c>
      <c r="G5" s="11">
        <v>300</v>
      </c>
    </row>
    <row r="6" spans="1:7" x14ac:dyDescent="0.25">
      <c r="A6" s="10">
        <v>45830</v>
      </c>
      <c r="B6" s="11">
        <v>4500</v>
      </c>
      <c r="C6" s="11">
        <v>100</v>
      </c>
      <c r="E6" s="10">
        <v>42023</v>
      </c>
      <c r="F6" s="11">
        <v>12000</v>
      </c>
      <c r="G6" s="11">
        <v>5000</v>
      </c>
    </row>
    <row r="7" spans="1:7" x14ac:dyDescent="0.25">
      <c r="A7" s="10">
        <v>45831</v>
      </c>
      <c r="B7" s="11">
        <v>2300</v>
      </c>
      <c r="C7" s="11">
        <v>340</v>
      </c>
      <c r="E7" s="10">
        <v>42024</v>
      </c>
      <c r="F7" s="11"/>
      <c r="G7" s="11"/>
    </row>
    <row r="8" spans="1:7" x14ac:dyDescent="0.25">
      <c r="A8" s="10">
        <v>45832</v>
      </c>
      <c r="B8" s="11">
        <v>5000</v>
      </c>
      <c r="C8" s="11">
        <v>200</v>
      </c>
      <c r="E8" s="10">
        <v>42025</v>
      </c>
      <c r="F8" s="11"/>
      <c r="G8" s="11"/>
    </row>
    <row r="9" spans="1:7" x14ac:dyDescent="0.25">
      <c r="A9" s="10">
        <v>45833</v>
      </c>
      <c r="B9" s="11"/>
      <c r="C9" s="11"/>
      <c r="E9" s="10">
        <v>42026</v>
      </c>
      <c r="F9" s="11"/>
      <c r="G9" s="11"/>
    </row>
    <row r="10" spans="1:7" x14ac:dyDescent="0.25">
      <c r="A10" s="10">
        <v>45834</v>
      </c>
      <c r="B10" s="11"/>
      <c r="C10" s="11"/>
      <c r="E10" s="10">
        <v>42027</v>
      </c>
      <c r="F10" s="11"/>
      <c r="G10" s="11"/>
    </row>
    <row r="11" spans="1:7" x14ac:dyDescent="0.25">
      <c r="A11" s="10">
        <v>45835</v>
      </c>
      <c r="B11" s="11"/>
      <c r="C11" s="11"/>
      <c r="E11" s="10">
        <v>42028</v>
      </c>
      <c r="F11" s="11"/>
      <c r="G11" s="11"/>
    </row>
    <row r="12" spans="1:7" x14ac:dyDescent="0.25">
      <c r="A12" s="10">
        <v>45836</v>
      </c>
      <c r="B12" s="11"/>
      <c r="C12" s="11"/>
      <c r="E12" s="10">
        <v>42029</v>
      </c>
      <c r="F12" s="11"/>
      <c r="G12" s="11"/>
    </row>
    <row r="13" spans="1:7" x14ac:dyDescent="0.25">
      <c r="A13" s="10">
        <v>45837</v>
      </c>
      <c r="B13" s="11"/>
      <c r="C13" s="11"/>
      <c r="E13" s="10">
        <v>42030</v>
      </c>
      <c r="F13" s="11"/>
      <c r="G13" s="11"/>
    </row>
    <row r="14" spans="1:7" x14ac:dyDescent="0.25">
      <c r="A14" s="10">
        <v>45838</v>
      </c>
      <c r="B14" s="11"/>
      <c r="C14" s="11"/>
      <c r="E14" s="10">
        <v>42031</v>
      </c>
      <c r="F14" s="11"/>
      <c r="G14" s="11"/>
    </row>
    <row r="15" spans="1:7" x14ac:dyDescent="0.25">
      <c r="A15" s="10">
        <v>45839</v>
      </c>
      <c r="B15" s="11"/>
      <c r="C15" s="11"/>
      <c r="E15" s="10">
        <v>42032</v>
      </c>
      <c r="F15" s="11"/>
      <c r="G15" s="11"/>
    </row>
    <row r="16" spans="1:7" x14ac:dyDescent="0.25">
      <c r="A16" s="10">
        <v>45840</v>
      </c>
      <c r="B16" s="11"/>
      <c r="C16" s="11"/>
      <c r="E16" s="10">
        <v>42033</v>
      </c>
      <c r="F16" s="11"/>
      <c r="G16" s="11"/>
    </row>
    <row r="17" spans="1:7" x14ac:dyDescent="0.25">
      <c r="A17" s="10">
        <v>45841</v>
      </c>
      <c r="B17" s="11"/>
      <c r="C17" s="11"/>
      <c r="E17" s="10">
        <v>42034</v>
      </c>
      <c r="F17" s="11"/>
      <c r="G17" s="11"/>
    </row>
    <row r="18" spans="1:7" x14ac:dyDescent="0.25">
      <c r="A18" s="9" t="s">
        <v>37</v>
      </c>
      <c r="B18" s="12">
        <f>SUM(B3:B17)</f>
        <v>19400</v>
      </c>
      <c r="C18" s="12">
        <f>SUM(C3:C17)</f>
        <v>1900</v>
      </c>
      <c r="E18" s="24" t="s">
        <v>37</v>
      </c>
      <c r="F18" s="25">
        <f>SUM(F3:F17)</f>
        <v>24500</v>
      </c>
      <c r="G18" s="25">
        <f>SUM(G3:G17)</f>
        <v>5600</v>
      </c>
    </row>
    <row r="19" spans="1:7" x14ac:dyDescent="0.25">
      <c r="A19" s="173" t="s">
        <v>49</v>
      </c>
      <c r="B19" s="244">
        <f>B18-C18</f>
        <v>17500</v>
      </c>
      <c r="C19" s="244"/>
      <c r="E19" s="26" t="s">
        <v>49</v>
      </c>
      <c r="F19" s="245">
        <f>F18-G18</f>
        <v>18900</v>
      </c>
      <c r="G19" s="246"/>
    </row>
    <row r="23" spans="1:7" x14ac:dyDescent="0.25">
      <c r="A23" t="s">
        <v>113</v>
      </c>
    </row>
    <row r="24" spans="1:7" x14ac:dyDescent="0.25">
      <c r="A24" t="s">
        <v>114</v>
      </c>
    </row>
    <row r="25" spans="1:7" x14ac:dyDescent="0.25">
      <c r="A25" t="s">
        <v>115</v>
      </c>
    </row>
    <row r="27" spans="1:7" x14ac:dyDescent="0.25">
      <c r="A27" t="s">
        <v>116</v>
      </c>
      <c r="B27" t="str">
        <f>PROPER(A27)</f>
        <v>Imran Khan</v>
      </c>
      <c r="C27" t="str">
        <f>LOWER(A27)</f>
        <v>imran khan</v>
      </c>
      <c r="D27">
        <f>LEN(A27)</f>
        <v>10</v>
      </c>
    </row>
    <row r="28" spans="1:7" x14ac:dyDescent="0.25">
      <c r="A28" t="s">
        <v>117</v>
      </c>
      <c r="B28" t="str">
        <f t="shared" ref="B28:B30" si="0">PROPER(A28)</f>
        <v>Gul Khan</v>
      </c>
      <c r="C28" t="str">
        <f t="shared" ref="C28:C30" si="1">LOWER(A28)</f>
        <v>gul khan</v>
      </c>
      <c r="D28">
        <f t="shared" ref="D28:D30" si="2">LEN(A28)</f>
        <v>8</v>
      </c>
    </row>
    <row r="29" spans="1:7" x14ac:dyDescent="0.25">
      <c r="A29" t="s">
        <v>118</v>
      </c>
      <c r="B29" t="str">
        <f t="shared" si="0"/>
        <v>Jamal Khan</v>
      </c>
      <c r="C29" t="str">
        <f t="shared" si="1"/>
        <v>jamal khan</v>
      </c>
      <c r="D29">
        <f t="shared" si="2"/>
        <v>10</v>
      </c>
    </row>
    <row r="30" spans="1:7" x14ac:dyDescent="0.25">
      <c r="A30" t="s">
        <v>119</v>
      </c>
      <c r="B30" t="str">
        <f t="shared" si="0"/>
        <v>Kamal Khan Afridi</v>
      </c>
      <c r="C30" t="str">
        <f t="shared" si="1"/>
        <v>kamal khan afridi</v>
      </c>
      <c r="D30">
        <f t="shared" si="2"/>
        <v>17</v>
      </c>
    </row>
  </sheetData>
  <customSheetViews>
    <customSheetView guid="{D6BA57A5-118E-4B58-A351-7E1C36DA5B56}">
      <selection activeCell="E27" sqref="E27"/>
      <pageMargins left="0.7" right="0.7" top="0.75" bottom="0.75" header="0.3" footer="0.3"/>
      <pageSetup orientation="portrait" horizontalDpi="300" verticalDpi="300" r:id="rId1"/>
    </customSheetView>
    <customSheetView guid="{05B8E57A-BB97-41F0-B6FB-606E79293C77}">
      <selection activeCell="E27" sqref="E27"/>
      <pageMargins left="0.7" right="0.7" top="0.75" bottom="0.75" header="0.3" footer="0.3"/>
      <pageSetup orientation="portrait" horizontalDpi="300" verticalDpi="300" r:id="rId2"/>
    </customSheetView>
    <customSheetView guid="{3C013989-8552-4FE1-BB7E-C88994E2D13D}">
      <selection activeCell="E27" sqref="E27"/>
      <pageMargins left="0.7" right="0.7" top="0.75" bottom="0.75" header="0.3" footer="0.3"/>
      <pageSetup orientation="portrait" horizontalDpi="300" verticalDpi="300" r:id="rId3"/>
    </customSheetView>
    <customSheetView guid="{75B547B5-834C-4784-8C45-4C35B93C736F}">
      <selection activeCell="E27" sqref="E27"/>
      <pageMargins left="0.7" right="0.7" top="0.75" bottom="0.75" header="0.3" footer="0.3"/>
      <pageSetup orientation="portrait" horizontalDpi="300" verticalDpi="300" r:id="rId4"/>
    </customSheetView>
  </customSheetViews>
  <mergeCells count="4">
    <mergeCell ref="A1:C1"/>
    <mergeCell ref="B19:C19"/>
    <mergeCell ref="E1:G1"/>
    <mergeCell ref="F19:G19"/>
  </mergeCells>
  <pageMargins left="0.7" right="0.7" top="0.75" bottom="0.75" header="0.3" footer="0.3"/>
  <pageSetup orientation="portrait" horizontalDpi="300" verticalDpi="300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26"/>
  <sheetViews>
    <sheetView topLeftCell="C1" workbookViewId="0">
      <selection activeCell="G5" sqref="G5"/>
    </sheetView>
  </sheetViews>
  <sheetFormatPr defaultRowHeight="15" x14ac:dyDescent="0.25"/>
  <cols>
    <col min="1" max="1" width="6.42578125" customWidth="1"/>
    <col min="2" max="2" width="13.140625" customWidth="1"/>
    <col min="3" max="3" width="13.85546875" customWidth="1"/>
    <col min="4" max="4" width="14.85546875" customWidth="1"/>
    <col min="5" max="5" width="14.7109375" customWidth="1"/>
    <col min="6" max="6" width="17.85546875" bestFit="1" customWidth="1"/>
    <col min="7" max="7" width="16.5703125" customWidth="1"/>
    <col min="8" max="8" width="15.28515625" customWidth="1"/>
    <col min="9" max="9" width="13.7109375" customWidth="1"/>
    <col min="10" max="10" width="16.28515625" customWidth="1"/>
  </cols>
  <sheetData>
    <row r="1" spans="1:11" ht="30" x14ac:dyDescent="0.25">
      <c r="A1" s="13" t="s">
        <v>50</v>
      </c>
      <c r="B1" s="123" t="s">
        <v>0</v>
      </c>
      <c r="C1" s="123" t="s">
        <v>124</v>
      </c>
      <c r="D1" s="124" t="s">
        <v>52</v>
      </c>
      <c r="E1" s="124" t="s">
        <v>53</v>
      </c>
      <c r="F1" s="124" t="s">
        <v>54</v>
      </c>
      <c r="G1" s="124" t="s">
        <v>55</v>
      </c>
      <c r="H1" s="124" t="s">
        <v>56</v>
      </c>
      <c r="I1" s="124" t="s">
        <v>57</v>
      </c>
      <c r="J1" s="124" t="s">
        <v>58</v>
      </c>
      <c r="K1" s="124" t="s">
        <v>512</v>
      </c>
    </row>
    <row r="2" spans="1:11" ht="18.75" x14ac:dyDescent="0.25">
      <c r="A2" s="15">
        <v>104</v>
      </c>
      <c r="B2" s="14" t="s">
        <v>60</v>
      </c>
      <c r="C2" s="7" t="s">
        <v>40</v>
      </c>
      <c r="D2" s="16">
        <v>18000</v>
      </c>
      <c r="E2" s="16">
        <f t="shared" ref="E2" si="0">IF(C2="A", D2*30%, IF(C2="B", D2*25%, IF(C2="C", D2*20%, D2*15%)))</f>
        <v>5400</v>
      </c>
      <c r="F2" s="193">
        <f t="shared" ref="F2" si="1">IF(C2="A", D2*40%, IF(C2="B", D2*35%, IF(C2="C", D2*30%, D2*20%)))</f>
        <v>7200</v>
      </c>
      <c r="G2" s="16">
        <f t="shared" ref="G2" si="2">IF(C2="A",D2*50%,IF(C2="B",D2*40%,IF(C2="C",D2*30%,D2*20%)))</f>
        <v>9000</v>
      </c>
      <c r="H2" s="17">
        <f t="shared" ref="H2" si="3">SUM(D2:G2)</f>
        <v>39600</v>
      </c>
      <c r="I2" s="17">
        <f t="shared" ref="I2" si="4">IF(H2&gt;=100000, H2*10%, 0)</f>
        <v>0</v>
      </c>
      <c r="J2" s="17">
        <f t="shared" ref="J2" si="5">H2-I2</f>
        <v>39600</v>
      </c>
      <c r="K2" s="17" t="s">
        <v>306</v>
      </c>
    </row>
    <row r="3" spans="1:11" ht="18.75" x14ac:dyDescent="0.25">
      <c r="A3" s="41"/>
      <c r="B3" s="14" t="s">
        <v>60</v>
      </c>
      <c r="C3" s="7" t="s">
        <v>40</v>
      </c>
      <c r="D3" s="16">
        <v>25000</v>
      </c>
      <c r="E3" s="16">
        <f>IF(C3="A",D3*30%,IF(C3="B",D3*25%,IF(C3="C",D3*20%,D3*15%)))</f>
        <v>7500</v>
      </c>
      <c r="F3" s="193">
        <f t="shared" ref="F3" si="6">IF(C3="A", D3*40%, IF(C3="B", D3*35%, IF(C3="C", D3*30%, D3*20%)))</f>
        <v>10000</v>
      </c>
      <c r="G3" s="16">
        <f t="shared" ref="G3" si="7">IF(C3="A",D3*50%,IF(C3="B",D3*40%,IF(C3="C",D3*30%,D3*20%)))</f>
        <v>12500</v>
      </c>
      <c r="H3" s="17">
        <f>SUM(D3:G3)</f>
        <v>55000</v>
      </c>
      <c r="I3" s="17">
        <f>IF(H3&gt;50000,H3*5%,0)</f>
        <v>2750</v>
      </c>
      <c r="J3" s="17">
        <f>H3-I3</f>
        <v>52250</v>
      </c>
      <c r="K3" s="17"/>
    </row>
    <row r="4" spans="1:11" x14ac:dyDescent="0.25">
      <c r="A4" s="41"/>
      <c r="B4" s="14" t="s">
        <v>60</v>
      </c>
      <c r="C4" s="7" t="s">
        <v>41</v>
      </c>
      <c r="D4" s="16"/>
      <c r="E4" s="16"/>
      <c r="F4" s="16"/>
      <c r="G4" s="16"/>
      <c r="H4" s="17"/>
      <c r="I4" s="17"/>
      <c r="J4" s="17"/>
      <c r="K4" s="17"/>
    </row>
    <row r="5" spans="1:11" x14ac:dyDescent="0.25">
      <c r="A5" s="41"/>
      <c r="B5" s="14" t="s">
        <v>12</v>
      </c>
      <c r="C5" s="7" t="s">
        <v>42</v>
      </c>
      <c r="D5" s="16"/>
      <c r="E5" s="16"/>
      <c r="F5" s="16"/>
      <c r="G5" s="16"/>
      <c r="H5" s="17"/>
      <c r="I5" s="17"/>
      <c r="J5" s="17"/>
      <c r="K5" s="17"/>
    </row>
    <row r="6" spans="1:11" x14ac:dyDescent="0.25">
      <c r="A6" s="41"/>
      <c r="B6" s="14" t="s">
        <v>12</v>
      </c>
      <c r="C6" s="7" t="s">
        <v>42</v>
      </c>
      <c r="D6" s="16"/>
      <c r="E6" s="16"/>
      <c r="F6" s="16"/>
      <c r="G6" s="16"/>
      <c r="H6" s="17"/>
      <c r="I6" s="17"/>
      <c r="J6" s="17"/>
      <c r="K6" s="17"/>
    </row>
    <row r="7" spans="1:11" x14ac:dyDescent="0.25">
      <c r="A7" s="15">
        <v>102</v>
      </c>
      <c r="B7" s="14" t="s">
        <v>12</v>
      </c>
      <c r="C7" s="7" t="s">
        <v>42</v>
      </c>
      <c r="D7" s="16"/>
      <c r="E7" s="16"/>
      <c r="F7" s="16"/>
      <c r="G7" s="16"/>
      <c r="H7" s="17"/>
      <c r="I7" s="17"/>
      <c r="J7" s="17"/>
      <c r="K7" s="17"/>
    </row>
    <row r="8" spans="1:11" x14ac:dyDescent="0.25">
      <c r="A8" s="15">
        <v>103</v>
      </c>
      <c r="B8" s="14" t="s">
        <v>59</v>
      </c>
      <c r="C8" s="7" t="s">
        <v>42</v>
      </c>
      <c r="D8" s="16"/>
      <c r="E8" s="16"/>
      <c r="F8" s="16"/>
      <c r="G8" s="16"/>
      <c r="H8" s="17"/>
      <c r="I8" s="17"/>
      <c r="J8" s="17"/>
      <c r="K8" s="17"/>
    </row>
    <row r="9" spans="1:11" x14ac:dyDescent="0.25">
      <c r="A9" s="41"/>
      <c r="B9" s="14" t="s">
        <v>59</v>
      </c>
      <c r="C9" s="7" t="s">
        <v>42</v>
      </c>
      <c r="D9" s="16"/>
      <c r="E9" s="16"/>
      <c r="F9" s="16"/>
      <c r="G9" s="16"/>
      <c r="H9" s="17"/>
      <c r="I9" s="17"/>
      <c r="J9" s="17"/>
      <c r="K9" s="17"/>
    </row>
    <row r="10" spans="1:11" x14ac:dyDescent="0.25">
      <c r="A10" s="41"/>
      <c r="B10" s="14" t="s">
        <v>59</v>
      </c>
      <c r="C10" s="7" t="s">
        <v>42</v>
      </c>
      <c r="D10" s="16"/>
      <c r="E10" s="16"/>
      <c r="F10" s="16"/>
      <c r="G10" s="16"/>
      <c r="H10" s="17"/>
      <c r="I10" s="17"/>
      <c r="J10" s="17"/>
      <c r="K10" s="17"/>
    </row>
    <row r="11" spans="1:11" x14ac:dyDescent="0.25">
      <c r="A11" s="41"/>
      <c r="B11" s="14" t="s">
        <v>11</v>
      </c>
      <c r="C11" s="7" t="s">
        <v>40</v>
      </c>
      <c r="D11" s="16"/>
      <c r="E11" s="16"/>
      <c r="F11" s="16"/>
      <c r="G11" s="16"/>
      <c r="H11" s="17"/>
      <c r="I11" s="17"/>
      <c r="J11" s="17"/>
      <c r="K11" s="17"/>
    </row>
    <row r="12" spans="1:11" x14ac:dyDescent="0.25">
      <c r="A12" s="41"/>
      <c r="B12" s="14" t="s">
        <v>11</v>
      </c>
      <c r="C12" s="7" t="s">
        <v>40</v>
      </c>
      <c r="D12" s="16"/>
      <c r="E12" s="16"/>
      <c r="F12" s="16"/>
      <c r="G12" s="16"/>
      <c r="H12" s="17"/>
      <c r="I12" s="17"/>
      <c r="J12" s="17"/>
      <c r="K12" s="17"/>
    </row>
    <row r="13" spans="1:11" x14ac:dyDescent="0.25">
      <c r="A13" s="15">
        <v>101</v>
      </c>
      <c r="B13" s="14" t="s">
        <v>11</v>
      </c>
      <c r="C13" s="7" t="s">
        <v>40</v>
      </c>
      <c r="D13" s="16"/>
      <c r="E13" s="16"/>
      <c r="F13" s="16"/>
      <c r="G13" s="16"/>
      <c r="H13" s="17"/>
      <c r="I13" s="17"/>
      <c r="J13" s="17"/>
      <c r="K13" s="17"/>
    </row>
    <row r="14" spans="1:11" x14ac:dyDescent="0.25">
      <c r="A14" s="41"/>
      <c r="B14" s="14" t="s">
        <v>513</v>
      </c>
      <c r="C14" s="7" t="s">
        <v>40</v>
      </c>
      <c r="D14" s="16"/>
      <c r="E14" s="16"/>
      <c r="F14" s="16"/>
      <c r="G14" s="16"/>
      <c r="H14" s="17"/>
      <c r="I14" s="17"/>
      <c r="J14" s="17"/>
      <c r="K14" s="17"/>
    </row>
    <row r="15" spans="1:11" x14ac:dyDescent="0.25">
      <c r="A15" s="168">
        <v>107</v>
      </c>
      <c r="B15" s="14" t="s">
        <v>513</v>
      </c>
      <c r="C15" s="7" t="s">
        <v>40</v>
      </c>
      <c r="D15" s="16"/>
      <c r="E15" s="16"/>
      <c r="F15" s="16"/>
      <c r="G15" s="16"/>
      <c r="H15" s="17"/>
      <c r="I15" s="17"/>
      <c r="J15" s="17"/>
      <c r="K15" s="17"/>
    </row>
    <row r="16" spans="1:11" x14ac:dyDescent="0.25">
      <c r="A16" s="168">
        <v>108</v>
      </c>
      <c r="B16" s="14" t="s">
        <v>513</v>
      </c>
      <c r="C16" s="7" t="s">
        <v>40</v>
      </c>
      <c r="D16" s="16"/>
      <c r="E16" s="16"/>
      <c r="F16" s="16"/>
      <c r="G16" s="16"/>
      <c r="H16" s="17"/>
      <c r="I16" s="17"/>
      <c r="J16" s="17"/>
      <c r="K16" s="17"/>
    </row>
    <row r="17" spans="1:11" x14ac:dyDescent="0.25">
      <c r="A17" s="168">
        <v>109</v>
      </c>
      <c r="B17" s="14" t="s">
        <v>513</v>
      </c>
      <c r="C17" s="7" t="s">
        <v>40</v>
      </c>
      <c r="D17" s="16"/>
      <c r="E17" s="16"/>
      <c r="F17" s="16"/>
      <c r="G17" s="16"/>
      <c r="H17" s="17"/>
      <c r="I17" s="17"/>
      <c r="J17" s="17"/>
      <c r="K17" s="17"/>
    </row>
    <row r="18" spans="1:11" x14ac:dyDescent="0.25">
      <c r="A18" s="168">
        <v>110</v>
      </c>
      <c r="B18" s="14" t="s">
        <v>513</v>
      </c>
      <c r="C18" s="7" t="s">
        <v>40</v>
      </c>
      <c r="D18" s="16"/>
      <c r="E18" s="16"/>
      <c r="F18" s="16"/>
      <c r="G18" s="16"/>
      <c r="H18" s="17"/>
      <c r="I18" s="17"/>
      <c r="J18" s="17"/>
      <c r="K18" s="17"/>
    </row>
    <row r="19" spans="1:11" x14ac:dyDescent="0.25">
      <c r="A19" s="168">
        <v>111</v>
      </c>
      <c r="B19" s="14" t="s">
        <v>513</v>
      </c>
      <c r="C19" s="7" t="s">
        <v>40</v>
      </c>
      <c r="D19" s="16"/>
      <c r="E19" s="16"/>
      <c r="F19" s="16"/>
      <c r="G19" s="16"/>
      <c r="H19" s="17"/>
      <c r="I19" s="17"/>
      <c r="J19" s="17"/>
      <c r="K19" s="17"/>
    </row>
    <row r="20" spans="1:11" x14ac:dyDescent="0.25">
      <c r="A20" s="168">
        <v>112</v>
      </c>
      <c r="B20" s="14" t="s">
        <v>513</v>
      </c>
      <c r="C20" s="7" t="s">
        <v>40</v>
      </c>
      <c r="D20" s="16"/>
      <c r="E20" s="16"/>
      <c r="F20" s="16"/>
      <c r="G20" s="16"/>
      <c r="H20" s="17"/>
      <c r="I20" s="17"/>
      <c r="J20" s="17"/>
      <c r="K20" s="17"/>
    </row>
    <row r="21" spans="1:11" x14ac:dyDescent="0.25">
      <c r="A21" s="168">
        <v>113</v>
      </c>
      <c r="B21" s="14" t="s">
        <v>513</v>
      </c>
      <c r="C21" s="7" t="s">
        <v>40</v>
      </c>
      <c r="D21" s="16"/>
      <c r="E21" s="16"/>
      <c r="F21" s="16"/>
      <c r="G21" s="16"/>
      <c r="H21" s="17"/>
      <c r="I21" s="17"/>
      <c r="J21" s="17"/>
      <c r="K21" s="17"/>
    </row>
    <row r="22" spans="1:11" x14ac:dyDescent="0.25">
      <c r="B22" s="14" t="s">
        <v>513</v>
      </c>
      <c r="C22" s="7" t="s">
        <v>40</v>
      </c>
      <c r="D22" s="16"/>
      <c r="E22" s="16"/>
      <c r="F22" s="16"/>
      <c r="G22" s="16"/>
      <c r="H22" s="17"/>
      <c r="I22" s="17"/>
      <c r="J22" s="17"/>
      <c r="K22" s="17"/>
    </row>
    <row r="23" spans="1:11" x14ac:dyDescent="0.25">
      <c r="B23" s="14" t="s">
        <v>513</v>
      </c>
      <c r="C23" s="7" t="s">
        <v>40</v>
      </c>
      <c r="D23" s="16"/>
      <c r="E23" s="16"/>
      <c r="F23" s="16"/>
      <c r="G23" s="16"/>
      <c r="H23" s="17"/>
      <c r="I23" s="17"/>
      <c r="J23" s="17"/>
      <c r="K23" s="17"/>
    </row>
    <row r="24" spans="1:11" x14ac:dyDescent="0.25">
      <c r="B24" s="14" t="s">
        <v>513</v>
      </c>
      <c r="C24" s="7" t="s">
        <v>40</v>
      </c>
      <c r="D24" s="16"/>
      <c r="E24" s="16"/>
      <c r="F24" s="16"/>
      <c r="G24" s="16"/>
      <c r="H24" s="17"/>
      <c r="I24" s="17"/>
      <c r="J24" s="17"/>
      <c r="K24" s="17"/>
    </row>
    <row r="25" spans="1:11" x14ac:dyDescent="0.25">
      <c r="B25" s="14" t="s">
        <v>513</v>
      </c>
      <c r="C25" s="7" t="s">
        <v>40</v>
      </c>
      <c r="D25" s="16"/>
      <c r="E25" s="16"/>
      <c r="F25" s="16"/>
      <c r="G25" s="16"/>
      <c r="H25" s="17"/>
      <c r="I25" s="17"/>
      <c r="J25" s="17"/>
      <c r="K25" s="17"/>
    </row>
    <row r="26" spans="1:11" x14ac:dyDescent="0.25">
      <c r="B26" s="14" t="s">
        <v>513</v>
      </c>
      <c r="C26" s="7" t="s">
        <v>40</v>
      </c>
      <c r="D26" s="16"/>
      <c r="E26" s="16"/>
      <c r="F26" s="16"/>
      <c r="G26" s="16"/>
      <c r="H26" s="17"/>
      <c r="I26" s="17"/>
      <c r="J26" s="17"/>
      <c r="K26" s="17"/>
    </row>
  </sheetData>
  <customSheetViews>
    <customSheetView guid="{D6BA57A5-118E-4B58-A351-7E1C36DA5B56}" topLeftCell="B1">
      <selection activeCell="E2" sqref="E2"/>
      <pageMargins left="0.7" right="0.7" top="0.75" bottom="0.75" header="0.3" footer="0.3"/>
    </customSheetView>
    <customSheetView guid="{05B8E57A-BB97-41F0-B6FB-606E79293C77}" topLeftCell="B1">
      <selection activeCell="E2" sqref="E2"/>
      <pageMargins left="0.7" right="0.7" top="0.75" bottom="0.75" header="0.3" footer="0.3"/>
    </customSheetView>
    <customSheetView guid="{3C013989-8552-4FE1-BB7E-C88994E2D13D}" topLeftCell="B1">
      <selection activeCell="E2" sqref="E2"/>
      <pageMargins left="0.7" right="0.7" top="0.75" bottom="0.75" header="0.3" footer="0.3"/>
    </customSheetView>
    <customSheetView guid="{75B547B5-834C-4784-8C45-4C35B93C736F}" topLeftCell="B1">
      <selection activeCell="E2" sqref="E2"/>
      <pageMargins left="0.7" right="0.7" top="0.75" bottom="0.75" header="0.3" footer="0.3"/>
    </customSheetView>
  </customSheetViews>
  <conditionalFormatting sqref="A1:K25">
    <cfRule type="expression" dxfId="49" priority="26">
      <formula>$B2="Hamid"</formula>
    </cfRule>
  </conditionalFormatting>
  <conditionalFormatting sqref="A1:K26">
    <cfRule type="expression" dxfId="48" priority="25">
      <formula>$K1048460="Oct"</formula>
    </cfRule>
  </conditionalFormatting>
  <conditionalFormatting sqref="A26:K26">
    <cfRule type="expression" dxfId="47" priority="28">
      <formula>#REF!="Hamid"</formula>
    </cfRule>
  </conditionalFormatting>
  <pageMargins left="0.22" right="0.08" top="0.75" bottom="0.75" header="0.3" footer="0.3"/>
  <pageSetup paperSize="9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4"/>
  <sheetViews>
    <sheetView topLeftCell="B1" workbookViewId="0">
      <selection activeCell="E2" sqref="E2"/>
    </sheetView>
  </sheetViews>
  <sheetFormatPr defaultRowHeight="15" x14ac:dyDescent="0.25"/>
  <cols>
    <col min="1" max="1" width="6.42578125" customWidth="1"/>
    <col min="2" max="2" width="13.140625" customWidth="1"/>
    <col min="3" max="3" width="13.85546875" customWidth="1"/>
    <col min="4" max="4" width="14.85546875" customWidth="1"/>
    <col min="5" max="5" width="14.7109375" customWidth="1"/>
    <col min="6" max="6" width="13.7109375" customWidth="1"/>
    <col min="7" max="7" width="16.5703125" customWidth="1"/>
    <col min="8" max="8" width="15.28515625" customWidth="1"/>
    <col min="9" max="9" width="13.7109375" customWidth="1"/>
    <col min="10" max="10" width="16.28515625" customWidth="1"/>
  </cols>
  <sheetData>
    <row r="1" spans="1:10" ht="30" x14ac:dyDescent="0.25">
      <c r="A1" s="123" t="s">
        <v>50</v>
      </c>
      <c r="B1" s="123" t="s">
        <v>0</v>
      </c>
      <c r="C1" s="123" t="s">
        <v>51</v>
      </c>
      <c r="D1" s="124" t="s">
        <v>52</v>
      </c>
      <c r="E1" s="124" t="s">
        <v>53</v>
      </c>
      <c r="F1" s="124" t="s">
        <v>54</v>
      </c>
      <c r="G1" s="124" t="s">
        <v>55</v>
      </c>
      <c r="H1" s="124" t="s">
        <v>56</v>
      </c>
      <c r="I1" s="124" t="s">
        <v>57</v>
      </c>
      <c r="J1" s="124" t="s">
        <v>58</v>
      </c>
    </row>
    <row r="2" spans="1:10" x14ac:dyDescent="0.25">
      <c r="A2" s="15">
        <v>101</v>
      </c>
      <c r="B2" s="14" t="s">
        <v>11</v>
      </c>
      <c r="C2" s="7" t="s">
        <v>69</v>
      </c>
      <c r="D2" s="16">
        <v>75000</v>
      </c>
      <c r="E2" s="16">
        <f>IF(C2="Manager",D2*25%,IF(C2="Ass. Manager",D2*21%,IF(C2="Officeboy",D2*12%,IF(C2="MD",D2*30%,D2*15%))))</f>
        <v>18750</v>
      </c>
      <c r="F2" s="16">
        <f>IF(C2="Manager",D2*20%,IF(C2="Ass. Manager",D2*18%,IF(C2="Officeboy",D2*7%,IF(C2="MD",D2*25%,D2*11%))))</f>
        <v>15000</v>
      </c>
      <c r="G2" s="16">
        <f>IF(C2="Manager",D2*26%,IF(C2="Ass. Manager",D2*22%,IF(C2="Officeboy",D2*12%,IF(C2="MD",D2*33%,D2*13%))))</f>
        <v>19500</v>
      </c>
      <c r="H2" s="17">
        <f>SUM(D2:G2)</f>
        <v>128250</v>
      </c>
      <c r="I2" s="17">
        <f>IF(H2&gt;=100000, H2*10%, 0)</f>
        <v>12825</v>
      </c>
      <c r="J2" s="17">
        <f>H2-I2</f>
        <v>115425</v>
      </c>
    </row>
    <row r="3" spans="1:10" x14ac:dyDescent="0.25">
      <c r="A3" s="15">
        <v>102</v>
      </c>
      <c r="B3" s="14" t="s">
        <v>12</v>
      </c>
      <c r="C3" s="7" t="s">
        <v>70</v>
      </c>
      <c r="D3" s="16">
        <v>60000</v>
      </c>
      <c r="E3" s="16">
        <f t="shared" ref="E3:E8" si="0">IF(C3="Manager",D3*25%,IF(C3="Ass. Manager",D3*21%,IF(C3="Officeboy",D3*12%,IF(C3="MD",D3*30%,D3*15%))))</f>
        <v>12600</v>
      </c>
      <c r="F3" s="16">
        <f t="shared" ref="F3:F8" si="1">IF(C3="Manager",D3*20%,IF(C3="Ass. Manager",D3*18%,IF(C3="Officeboy",D3*7%,IF(C3="MD",D3*25%,D3*11%))))</f>
        <v>10800</v>
      </c>
      <c r="G3" s="16">
        <f t="shared" ref="G3:G8" si="2">IF(C3="Manager",D3*26%,IF(C3="Ass. Manager",D3*22%,IF(C3="Officeboy",D3*12%,IF(C3="MD",D3*33%,D3*13%))))</f>
        <v>13200</v>
      </c>
      <c r="H3" s="17">
        <f t="shared" ref="H3:H14" si="3">SUM(D3:G3)</f>
        <v>96600</v>
      </c>
      <c r="I3" s="17">
        <f t="shared" ref="I3:I14" si="4">IF(H3&gt;=100000, H3*10%, 0)</f>
        <v>0</v>
      </c>
      <c r="J3" s="17">
        <f t="shared" ref="J3:J14" si="5">H3-I3</f>
        <v>96600</v>
      </c>
    </row>
    <row r="4" spans="1:10" x14ac:dyDescent="0.25">
      <c r="A4" s="15">
        <v>103</v>
      </c>
      <c r="B4" s="14" t="s">
        <v>59</v>
      </c>
      <c r="C4" s="7" t="s">
        <v>71</v>
      </c>
      <c r="D4" s="16">
        <v>11000</v>
      </c>
      <c r="E4" s="16">
        <f t="shared" si="0"/>
        <v>1320</v>
      </c>
      <c r="F4" s="16">
        <f t="shared" si="1"/>
        <v>770.00000000000011</v>
      </c>
      <c r="G4" s="16">
        <f t="shared" si="2"/>
        <v>1320</v>
      </c>
      <c r="H4" s="17">
        <f t="shared" si="3"/>
        <v>14410</v>
      </c>
      <c r="I4" s="17">
        <f t="shared" si="4"/>
        <v>0</v>
      </c>
      <c r="J4" s="17">
        <f t="shared" si="5"/>
        <v>14410</v>
      </c>
    </row>
    <row r="5" spans="1:10" x14ac:dyDescent="0.25">
      <c r="A5" s="15">
        <v>104</v>
      </c>
      <c r="B5" s="14" t="s">
        <v>60</v>
      </c>
      <c r="C5" s="7" t="s">
        <v>72</v>
      </c>
      <c r="D5" s="16">
        <v>18000</v>
      </c>
      <c r="E5" s="16">
        <f t="shared" si="0"/>
        <v>2700</v>
      </c>
      <c r="F5" s="16">
        <f t="shared" si="1"/>
        <v>1980</v>
      </c>
      <c r="G5" s="16">
        <f t="shared" si="2"/>
        <v>2340</v>
      </c>
      <c r="H5" s="17">
        <f t="shared" si="3"/>
        <v>25020</v>
      </c>
      <c r="I5" s="17">
        <f t="shared" si="4"/>
        <v>0</v>
      </c>
      <c r="J5" s="17">
        <f t="shared" si="5"/>
        <v>25020</v>
      </c>
    </row>
    <row r="6" spans="1:10" x14ac:dyDescent="0.25">
      <c r="A6" s="15">
        <v>105</v>
      </c>
      <c r="B6" s="14" t="s">
        <v>61</v>
      </c>
      <c r="C6" s="7" t="s">
        <v>75</v>
      </c>
      <c r="D6" s="16">
        <v>12000</v>
      </c>
      <c r="E6" s="16">
        <f t="shared" si="0"/>
        <v>1800</v>
      </c>
      <c r="F6" s="16">
        <f t="shared" si="1"/>
        <v>1320</v>
      </c>
      <c r="G6" s="16">
        <f t="shared" si="2"/>
        <v>1560</v>
      </c>
      <c r="H6" s="17">
        <f t="shared" si="3"/>
        <v>16680</v>
      </c>
      <c r="I6" s="17">
        <f t="shared" si="4"/>
        <v>0</v>
      </c>
      <c r="J6" s="17">
        <f t="shared" si="5"/>
        <v>16680</v>
      </c>
    </row>
    <row r="7" spans="1:10" x14ac:dyDescent="0.25">
      <c r="A7" s="15">
        <v>106</v>
      </c>
      <c r="B7" s="14" t="s">
        <v>62</v>
      </c>
      <c r="C7" s="7" t="s">
        <v>73</v>
      </c>
      <c r="D7" s="16">
        <v>120000</v>
      </c>
      <c r="E7" s="16">
        <f t="shared" si="0"/>
        <v>36000</v>
      </c>
      <c r="F7" s="16">
        <f t="shared" si="1"/>
        <v>30000</v>
      </c>
      <c r="G7" s="16">
        <f t="shared" si="2"/>
        <v>39600</v>
      </c>
      <c r="H7" s="17">
        <f t="shared" si="3"/>
        <v>225600</v>
      </c>
      <c r="I7" s="17">
        <f t="shared" si="4"/>
        <v>22560</v>
      </c>
      <c r="J7" s="17">
        <f t="shared" si="5"/>
        <v>203040</v>
      </c>
    </row>
    <row r="8" spans="1:10" x14ac:dyDescent="0.25">
      <c r="A8" s="15">
        <v>107</v>
      </c>
      <c r="B8" s="14" t="s">
        <v>63</v>
      </c>
      <c r="C8" s="7" t="s">
        <v>74</v>
      </c>
      <c r="D8" s="16">
        <v>30000</v>
      </c>
      <c r="E8" s="16">
        <f t="shared" si="0"/>
        <v>4500</v>
      </c>
      <c r="F8" s="16">
        <f t="shared" si="1"/>
        <v>3300</v>
      </c>
      <c r="G8" s="16">
        <f t="shared" si="2"/>
        <v>3900</v>
      </c>
      <c r="H8" s="17">
        <f t="shared" si="3"/>
        <v>41700</v>
      </c>
      <c r="I8" s="17">
        <f t="shared" si="4"/>
        <v>0</v>
      </c>
      <c r="J8" s="17">
        <f t="shared" si="5"/>
        <v>41700</v>
      </c>
    </row>
    <row r="9" spans="1:10" x14ac:dyDescent="0.25">
      <c r="A9" s="15">
        <v>108</v>
      </c>
      <c r="B9" s="14" t="s">
        <v>64</v>
      </c>
      <c r="C9" s="7"/>
      <c r="D9" s="16"/>
      <c r="E9" s="16"/>
      <c r="F9" s="16"/>
      <c r="G9" s="16"/>
      <c r="H9" s="17">
        <f t="shared" si="3"/>
        <v>0</v>
      </c>
      <c r="I9" s="17">
        <f t="shared" si="4"/>
        <v>0</v>
      </c>
      <c r="J9" s="17">
        <f t="shared" si="5"/>
        <v>0</v>
      </c>
    </row>
    <row r="10" spans="1:10" x14ac:dyDescent="0.25">
      <c r="A10" s="15">
        <v>109</v>
      </c>
      <c r="B10" s="14" t="s">
        <v>65</v>
      </c>
      <c r="C10" s="7"/>
      <c r="D10" s="16"/>
      <c r="E10" s="16"/>
      <c r="F10" s="16"/>
      <c r="G10" s="16"/>
      <c r="H10" s="17">
        <f t="shared" si="3"/>
        <v>0</v>
      </c>
      <c r="I10" s="17">
        <f t="shared" si="4"/>
        <v>0</v>
      </c>
      <c r="J10" s="17">
        <f t="shared" si="5"/>
        <v>0</v>
      </c>
    </row>
    <row r="11" spans="1:10" x14ac:dyDescent="0.25">
      <c r="A11" s="15">
        <v>110</v>
      </c>
      <c r="B11" s="14" t="s">
        <v>22</v>
      </c>
      <c r="C11" s="7"/>
      <c r="D11" s="16"/>
      <c r="E11" s="16"/>
      <c r="F11" s="16"/>
      <c r="G11" s="16"/>
      <c r="H11" s="17">
        <f t="shared" si="3"/>
        <v>0</v>
      </c>
      <c r="I11" s="17">
        <f t="shared" si="4"/>
        <v>0</v>
      </c>
      <c r="J11" s="17">
        <f t="shared" si="5"/>
        <v>0</v>
      </c>
    </row>
    <row r="12" spans="1:10" x14ac:dyDescent="0.25">
      <c r="A12" s="15">
        <v>111</v>
      </c>
      <c r="B12" s="14" t="s">
        <v>66</v>
      </c>
      <c r="C12" s="7"/>
      <c r="D12" s="16"/>
      <c r="E12" s="16"/>
      <c r="F12" s="16"/>
      <c r="G12" s="16"/>
      <c r="H12" s="17">
        <f t="shared" si="3"/>
        <v>0</v>
      </c>
      <c r="I12" s="17">
        <f t="shared" si="4"/>
        <v>0</v>
      </c>
      <c r="J12" s="17">
        <f t="shared" si="5"/>
        <v>0</v>
      </c>
    </row>
    <row r="13" spans="1:10" x14ac:dyDescent="0.25">
      <c r="A13" s="15">
        <v>112</v>
      </c>
      <c r="B13" s="14" t="s">
        <v>67</v>
      </c>
      <c r="C13" s="7"/>
      <c r="D13" s="16"/>
      <c r="E13" s="16"/>
      <c r="F13" s="16"/>
      <c r="G13" s="16"/>
      <c r="H13" s="17">
        <f t="shared" si="3"/>
        <v>0</v>
      </c>
      <c r="I13" s="17">
        <f t="shared" si="4"/>
        <v>0</v>
      </c>
      <c r="J13" s="17">
        <f t="shared" si="5"/>
        <v>0</v>
      </c>
    </row>
    <row r="14" spans="1:10" x14ac:dyDescent="0.25">
      <c r="A14" s="15">
        <v>113</v>
      </c>
      <c r="B14" s="14" t="s">
        <v>68</v>
      </c>
      <c r="C14" s="7"/>
      <c r="D14" s="16"/>
      <c r="E14" s="16"/>
      <c r="F14" s="16"/>
      <c r="G14" s="16"/>
      <c r="H14" s="17">
        <f t="shared" si="3"/>
        <v>0</v>
      </c>
      <c r="I14" s="17">
        <f t="shared" si="4"/>
        <v>0</v>
      </c>
      <c r="J14" s="17">
        <f t="shared" si="5"/>
        <v>0</v>
      </c>
    </row>
  </sheetData>
  <customSheetViews>
    <customSheetView guid="{D6BA57A5-118E-4B58-A351-7E1C36DA5B56}" topLeftCell="B1">
      <selection activeCell="I26" sqref="I26"/>
      <pageMargins left="0.7" right="0.7" top="0.75" bottom="0.75" header="0.3" footer="0.3"/>
    </customSheetView>
    <customSheetView guid="{05B8E57A-BB97-41F0-B6FB-606E79293C77}">
      <pageMargins left="0.7" right="0.7" top="0.75" bottom="0.75" header="0.3" footer="0.3"/>
    </customSheetView>
    <customSheetView guid="{3C013989-8552-4FE1-BB7E-C88994E2D13D}" topLeftCell="B1">
      <selection activeCell="I26" sqref="I26"/>
      <pageMargins left="0.7" right="0.7" top="0.75" bottom="0.75" header="0.3" footer="0.3"/>
    </customSheetView>
    <customSheetView guid="{75B547B5-834C-4784-8C45-4C35B93C736F}" topLeftCell="B1">
      <selection activeCell="I26" sqref="I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17"/>
  <sheetViews>
    <sheetView workbookViewId="0">
      <selection activeCell="J11" sqref="J11"/>
    </sheetView>
  </sheetViews>
  <sheetFormatPr defaultRowHeight="15" x14ac:dyDescent="0.25"/>
  <cols>
    <col min="1" max="1" width="6.42578125" customWidth="1"/>
    <col min="2" max="2" width="24.85546875" customWidth="1"/>
    <col min="3" max="3" width="11.28515625" customWidth="1"/>
    <col min="4" max="4" width="12.28515625" customWidth="1"/>
    <col min="5" max="5" width="9.140625" customWidth="1"/>
    <col min="6" max="6" width="16.140625" customWidth="1"/>
    <col min="7" max="7" width="9.5703125" customWidth="1"/>
    <col min="8" max="8" width="14.42578125" customWidth="1"/>
  </cols>
  <sheetData>
    <row r="1" spans="1:14" x14ac:dyDescent="0.25">
      <c r="A1" s="247" t="s">
        <v>82</v>
      </c>
      <c r="B1" s="247"/>
      <c r="C1" s="247"/>
      <c r="D1" s="247"/>
      <c r="E1" s="247"/>
      <c r="F1" s="247"/>
      <c r="G1" s="247"/>
      <c r="H1" s="247"/>
    </row>
    <row r="2" spans="1:14" x14ac:dyDescent="0.25">
      <c r="A2" s="18" t="s">
        <v>76</v>
      </c>
      <c r="B2" s="18" t="s">
        <v>0</v>
      </c>
      <c r="C2" s="18" t="s">
        <v>77</v>
      </c>
      <c r="D2" s="18" t="s">
        <v>78</v>
      </c>
      <c r="E2" s="18" t="s">
        <v>79</v>
      </c>
      <c r="F2" s="18" t="s">
        <v>80</v>
      </c>
      <c r="G2" s="18" t="s">
        <v>79</v>
      </c>
      <c r="H2" s="18" t="s">
        <v>81</v>
      </c>
    </row>
    <row r="3" spans="1:14" x14ac:dyDescent="0.25">
      <c r="A3" s="7">
        <v>1001</v>
      </c>
      <c r="B3" s="14" t="s">
        <v>213</v>
      </c>
      <c r="C3" s="7">
        <v>22</v>
      </c>
      <c r="D3" s="7">
        <f>C3*8</f>
        <v>176</v>
      </c>
      <c r="E3" s="19">
        <f>D3*60</f>
        <v>10560</v>
      </c>
      <c r="F3" s="7">
        <v>10</v>
      </c>
      <c r="G3" s="19">
        <f>F3*80</f>
        <v>800</v>
      </c>
      <c r="H3" s="20">
        <f>E3+G3</f>
        <v>11360</v>
      </c>
    </row>
    <row r="4" spans="1:14" x14ac:dyDescent="0.25">
      <c r="A4" s="7">
        <v>1002</v>
      </c>
      <c r="B4" s="14" t="s">
        <v>214</v>
      </c>
      <c r="C4" s="7">
        <v>27</v>
      </c>
      <c r="D4" s="7">
        <f t="shared" ref="D4:D17" si="0">C4*8</f>
        <v>216</v>
      </c>
      <c r="E4" s="19">
        <f t="shared" ref="E4:E17" si="1">D4*60</f>
        <v>12960</v>
      </c>
      <c r="F4" s="7">
        <v>35</v>
      </c>
      <c r="G4" s="19">
        <f t="shared" ref="G4:G17" si="2">F4*80</f>
        <v>2800</v>
      </c>
      <c r="H4" s="20">
        <f t="shared" ref="H4:H17" si="3">E4+G4</f>
        <v>15760</v>
      </c>
    </row>
    <row r="5" spans="1:14" x14ac:dyDescent="0.25">
      <c r="A5" s="7">
        <v>1003</v>
      </c>
      <c r="B5" s="14" t="s">
        <v>215</v>
      </c>
      <c r="C5" s="7">
        <v>31</v>
      </c>
      <c r="D5" s="7">
        <f t="shared" si="0"/>
        <v>248</v>
      </c>
      <c r="E5" s="19">
        <f t="shared" si="1"/>
        <v>14880</v>
      </c>
      <c r="F5" s="7">
        <v>60</v>
      </c>
      <c r="G5" s="19">
        <f t="shared" si="2"/>
        <v>4800</v>
      </c>
      <c r="H5" s="20">
        <f t="shared" si="3"/>
        <v>19680</v>
      </c>
    </row>
    <row r="6" spans="1:14" x14ac:dyDescent="0.25">
      <c r="A6" s="7"/>
      <c r="B6" s="14"/>
      <c r="C6" s="7"/>
      <c r="D6" s="7">
        <f t="shared" si="0"/>
        <v>0</v>
      </c>
      <c r="E6" s="19">
        <f t="shared" si="1"/>
        <v>0</v>
      </c>
      <c r="F6" s="7"/>
      <c r="G6" s="19">
        <f t="shared" si="2"/>
        <v>0</v>
      </c>
      <c r="H6" s="20">
        <f t="shared" si="3"/>
        <v>0</v>
      </c>
      <c r="L6">
        <v>500</v>
      </c>
      <c r="M6">
        <v>8</v>
      </c>
      <c r="N6">
        <f>L6/M6</f>
        <v>62.5</v>
      </c>
    </row>
    <row r="7" spans="1:14" x14ac:dyDescent="0.25">
      <c r="A7" s="7"/>
      <c r="B7" s="14"/>
      <c r="C7" s="7"/>
      <c r="D7" s="7">
        <f t="shared" si="0"/>
        <v>0</v>
      </c>
      <c r="E7" s="19">
        <f t="shared" si="1"/>
        <v>0</v>
      </c>
      <c r="F7" s="7"/>
      <c r="G7" s="19">
        <f t="shared" si="2"/>
        <v>0</v>
      </c>
      <c r="H7" s="20">
        <f t="shared" si="3"/>
        <v>0</v>
      </c>
    </row>
    <row r="8" spans="1:14" x14ac:dyDescent="0.25">
      <c r="A8" s="7"/>
      <c r="B8" s="14"/>
      <c r="C8" s="7"/>
      <c r="D8" s="7">
        <f t="shared" si="0"/>
        <v>0</v>
      </c>
      <c r="E8" s="19">
        <f t="shared" si="1"/>
        <v>0</v>
      </c>
      <c r="F8" s="7"/>
      <c r="G8" s="19">
        <f t="shared" si="2"/>
        <v>0</v>
      </c>
      <c r="H8" s="20">
        <f t="shared" si="3"/>
        <v>0</v>
      </c>
    </row>
    <row r="9" spans="1:14" x14ac:dyDescent="0.25">
      <c r="A9" s="7"/>
      <c r="B9" s="14"/>
      <c r="C9" s="7"/>
      <c r="D9" s="7">
        <f t="shared" si="0"/>
        <v>0</v>
      </c>
      <c r="E9" s="19">
        <f t="shared" si="1"/>
        <v>0</v>
      </c>
      <c r="F9" s="7"/>
      <c r="G9" s="19">
        <f t="shared" si="2"/>
        <v>0</v>
      </c>
      <c r="H9" s="20">
        <f t="shared" si="3"/>
        <v>0</v>
      </c>
    </row>
    <row r="10" spans="1:14" x14ac:dyDescent="0.25">
      <c r="A10" s="7"/>
      <c r="B10" s="14"/>
      <c r="C10" s="7"/>
      <c r="D10" s="7">
        <f t="shared" si="0"/>
        <v>0</v>
      </c>
      <c r="E10" s="19">
        <f t="shared" si="1"/>
        <v>0</v>
      </c>
      <c r="F10" s="7"/>
      <c r="G10" s="19">
        <f t="shared" si="2"/>
        <v>0</v>
      </c>
      <c r="H10" s="20">
        <f t="shared" si="3"/>
        <v>0</v>
      </c>
    </row>
    <row r="11" spans="1:14" x14ac:dyDescent="0.25">
      <c r="A11" s="7"/>
      <c r="B11" s="14"/>
      <c r="C11" s="7"/>
      <c r="D11" s="7">
        <f t="shared" si="0"/>
        <v>0</v>
      </c>
      <c r="E11" s="19">
        <f t="shared" si="1"/>
        <v>0</v>
      </c>
      <c r="F11" s="7"/>
      <c r="G11" s="19">
        <f t="shared" si="2"/>
        <v>0</v>
      </c>
      <c r="H11" s="20">
        <f t="shared" si="3"/>
        <v>0</v>
      </c>
    </row>
    <row r="12" spans="1:14" x14ac:dyDescent="0.25">
      <c r="A12" s="7"/>
      <c r="B12" s="14"/>
      <c r="C12" s="7"/>
      <c r="D12" s="7">
        <f t="shared" si="0"/>
        <v>0</v>
      </c>
      <c r="E12" s="19">
        <f t="shared" si="1"/>
        <v>0</v>
      </c>
      <c r="F12" s="7"/>
      <c r="G12" s="19">
        <f t="shared" si="2"/>
        <v>0</v>
      </c>
      <c r="H12" s="20">
        <f t="shared" si="3"/>
        <v>0</v>
      </c>
    </row>
    <row r="13" spans="1:14" x14ac:dyDescent="0.25">
      <c r="A13" s="7"/>
      <c r="B13" s="14"/>
      <c r="C13" s="7"/>
      <c r="D13" s="7">
        <f t="shared" si="0"/>
        <v>0</v>
      </c>
      <c r="E13" s="19">
        <f t="shared" si="1"/>
        <v>0</v>
      </c>
      <c r="F13" s="7"/>
      <c r="G13" s="19">
        <f t="shared" si="2"/>
        <v>0</v>
      </c>
      <c r="H13" s="20">
        <f t="shared" si="3"/>
        <v>0</v>
      </c>
    </row>
    <row r="14" spans="1:14" x14ac:dyDescent="0.25">
      <c r="A14" s="7"/>
      <c r="B14" s="14"/>
      <c r="C14" s="7"/>
      <c r="D14" s="7">
        <f t="shared" si="0"/>
        <v>0</v>
      </c>
      <c r="E14" s="19">
        <f t="shared" si="1"/>
        <v>0</v>
      </c>
      <c r="F14" s="7"/>
      <c r="G14" s="19">
        <f t="shared" si="2"/>
        <v>0</v>
      </c>
      <c r="H14" s="20">
        <f t="shared" si="3"/>
        <v>0</v>
      </c>
    </row>
    <row r="15" spans="1:14" x14ac:dyDescent="0.25">
      <c r="A15" s="7"/>
      <c r="B15" s="14"/>
      <c r="C15" s="7"/>
      <c r="D15" s="7">
        <f t="shared" si="0"/>
        <v>0</v>
      </c>
      <c r="E15" s="19">
        <f t="shared" si="1"/>
        <v>0</v>
      </c>
      <c r="F15" s="7"/>
      <c r="G15" s="19">
        <f t="shared" si="2"/>
        <v>0</v>
      </c>
      <c r="H15" s="20">
        <f t="shared" si="3"/>
        <v>0</v>
      </c>
    </row>
    <row r="16" spans="1:14" x14ac:dyDescent="0.25">
      <c r="A16" s="7"/>
      <c r="B16" s="14"/>
      <c r="C16" s="7"/>
      <c r="D16" s="7">
        <f t="shared" si="0"/>
        <v>0</v>
      </c>
      <c r="E16" s="19">
        <f t="shared" si="1"/>
        <v>0</v>
      </c>
      <c r="F16" s="7"/>
      <c r="G16" s="19">
        <f t="shared" si="2"/>
        <v>0</v>
      </c>
      <c r="H16" s="20">
        <f t="shared" si="3"/>
        <v>0</v>
      </c>
    </row>
    <row r="17" spans="1:8" x14ac:dyDescent="0.25">
      <c r="A17" s="7"/>
      <c r="B17" s="14"/>
      <c r="C17" s="7"/>
      <c r="D17" s="7">
        <f t="shared" si="0"/>
        <v>0</v>
      </c>
      <c r="E17" s="19">
        <f t="shared" si="1"/>
        <v>0</v>
      </c>
      <c r="F17" s="7"/>
      <c r="G17" s="19">
        <f t="shared" si="2"/>
        <v>0</v>
      </c>
      <c r="H17" s="20">
        <f t="shared" si="3"/>
        <v>0</v>
      </c>
    </row>
  </sheetData>
  <customSheetViews>
    <customSheetView guid="{D6BA57A5-118E-4B58-A351-7E1C36DA5B56}">
      <selection activeCell="C23" sqref="C23"/>
      <pageMargins left="0.7" right="0.7" top="0.75" bottom="0.75" header="0.3" footer="0.3"/>
    </customSheetView>
    <customSheetView guid="{05B8E57A-BB97-41F0-B6FB-606E79293C77}">
      <selection activeCell="C23" sqref="C23"/>
      <pageMargins left="0.7" right="0.7" top="0.75" bottom="0.75" header="0.3" footer="0.3"/>
    </customSheetView>
    <customSheetView guid="{3C013989-8552-4FE1-BB7E-C88994E2D13D}">
      <selection activeCell="C23" sqref="C23"/>
      <pageMargins left="0.7" right="0.7" top="0.75" bottom="0.75" header="0.3" footer="0.3"/>
    </customSheetView>
    <customSheetView guid="{75B547B5-834C-4784-8C45-4C35B93C736F}">
      <selection activeCell="C23" sqref="C23"/>
      <pageMargins left="0.7" right="0.7" top="0.75" bottom="0.75" header="0.3" footer="0.3"/>
    </customSheetView>
  </customSheetViews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17"/>
  <sheetViews>
    <sheetView workbookViewId="0">
      <selection activeCell="H3" sqref="H3"/>
    </sheetView>
  </sheetViews>
  <sheetFormatPr defaultRowHeight="15" x14ac:dyDescent="0.25"/>
  <cols>
    <col min="2" max="2" width="6.42578125" customWidth="1"/>
    <col min="3" max="3" width="24.85546875" customWidth="1"/>
    <col min="4" max="4" width="11.28515625" customWidth="1"/>
    <col min="5" max="5" width="12.28515625" customWidth="1"/>
    <col min="6" max="6" width="9.140625" customWidth="1"/>
    <col min="7" max="7" width="16.140625" customWidth="1"/>
    <col min="8" max="8" width="9.5703125" customWidth="1"/>
    <col min="9" max="9" width="14.42578125" customWidth="1"/>
  </cols>
  <sheetData>
    <row r="1" spans="1:9" x14ac:dyDescent="0.25">
      <c r="A1" s="248" t="s">
        <v>82</v>
      </c>
      <c r="B1" s="248"/>
      <c r="C1" s="248"/>
      <c r="D1" s="248"/>
      <c r="E1" s="248"/>
      <c r="F1" s="248"/>
      <c r="G1" s="248"/>
      <c r="H1" s="248"/>
      <c r="I1" s="249"/>
    </row>
    <row r="2" spans="1:9" x14ac:dyDescent="0.25">
      <c r="A2" s="18" t="s">
        <v>76</v>
      </c>
      <c r="B2" s="18" t="s">
        <v>124</v>
      </c>
      <c r="C2" s="18" t="s">
        <v>0</v>
      </c>
      <c r="D2" s="18" t="s">
        <v>77</v>
      </c>
      <c r="E2" s="18" t="s">
        <v>78</v>
      </c>
      <c r="F2" s="18" t="s">
        <v>79</v>
      </c>
      <c r="G2" s="18" t="s">
        <v>80</v>
      </c>
      <c r="H2" s="18" t="s">
        <v>79</v>
      </c>
      <c r="I2" s="18" t="s">
        <v>81</v>
      </c>
    </row>
    <row r="3" spans="1:9" x14ac:dyDescent="0.25">
      <c r="A3" s="7">
        <v>101</v>
      </c>
      <c r="B3" s="7" t="s">
        <v>40</v>
      </c>
      <c r="C3" s="14" t="s">
        <v>11</v>
      </c>
      <c r="D3" s="7">
        <v>26</v>
      </c>
      <c r="E3" s="7">
        <f>D3*8</f>
        <v>208</v>
      </c>
      <c r="F3" s="19">
        <f>IF(B3="A",E3*150,IF(B3="B",E3*100,E3*90))</f>
        <v>31200</v>
      </c>
      <c r="G3" s="7">
        <v>40</v>
      </c>
      <c r="H3" s="19">
        <f>IF(B3="a", G3*145, IF(B3="b", G3*130, G3*120))</f>
        <v>5800</v>
      </c>
      <c r="I3" s="20">
        <f>F3+H3</f>
        <v>37000</v>
      </c>
    </row>
    <row r="4" spans="1:9" x14ac:dyDescent="0.25">
      <c r="A4" s="7">
        <v>102</v>
      </c>
      <c r="B4" s="7" t="s">
        <v>41</v>
      </c>
      <c r="C4" s="14" t="s">
        <v>12</v>
      </c>
      <c r="D4" s="7">
        <v>26</v>
      </c>
      <c r="E4" s="7">
        <f t="shared" ref="E4:E17" si="0">D4*8</f>
        <v>208</v>
      </c>
      <c r="F4" s="19">
        <f t="shared" ref="F4:F17" si="1">IF(B4="A", E4*150, IF(B4="B", E4*100, E4*90))</f>
        <v>20800</v>
      </c>
      <c r="G4" s="7">
        <v>40</v>
      </c>
      <c r="H4" s="19">
        <f>IF(B4="a", G4*145, IF(B4="b", G4*130, G4*120))</f>
        <v>5200</v>
      </c>
      <c r="I4" s="20">
        <f t="shared" ref="I4:I17" si="2">F4+H4</f>
        <v>26000</v>
      </c>
    </row>
    <row r="5" spans="1:9" x14ac:dyDescent="0.25">
      <c r="A5" s="7">
        <v>103</v>
      </c>
      <c r="B5" s="7" t="s">
        <v>42</v>
      </c>
      <c r="C5" s="14" t="s">
        <v>59</v>
      </c>
      <c r="D5" s="7">
        <v>26</v>
      </c>
      <c r="E5" s="7">
        <f t="shared" si="0"/>
        <v>208</v>
      </c>
      <c r="F5" s="19">
        <f t="shared" si="1"/>
        <v>18720</v>
      </c>
      <c r="G5" s="7"/>
      <c r="H5" s="19">
        <f t="shared" ref="H5:H17" si="3">IF(B5="a", G5*145, IF(B5="b", G5*130, G5*120))</f>
        <v>0</v>
      </c>
      <c r="I5" s="20">
        <f t="shared" si="2"/>
        <v>18720</v>
      </c>
    </row>
    <row r="6" spans="1:9" x14ac:dyDescent="0.25">
      <c r="A6" s="7">
        <v>104</v>
      </c>
      <c r="B6" s="7" t="s">
        <v>43</v>
      </c>
      <c r="C6" s="14" t="s">
        <v>60</v>
      </c>
      <c r="D6" s="7">
        <v>26</v>
      </c>
      <c r="E6" s="7">
        <f t="shared" si="0"/>
        <v>208</v>
      </c>
      <c r="F6" s="19">
        <f t="shared" si="1"/>
        <v>18720</v>
      </c>
      <c r="G6" s="7"/>
      <c r="H6" s="19">
        <f t="shared" si="3"/>
        <v>0</v>
      </c>
      <c r="I6" s="20">
        <f t="shared" si="2"/>
        <v>18720</v>
      </c>
    </row>
    <row r="7" spans="1:9" x14ac:dyDescent="0.25">
      <c r="A7" s="7">
        <v>105</v>
      </c>
      <c r="B7" s="7" t="s">
        <v>44</v>
      </c>
      <c r="C7" s="14" t="s">
        <v>61</v>
      </c>
      <c r="D7" s="7"/>
      <c r="E7" s="7">
        <f t="shared" si="0"/>
        <v>0</v>
      </c>
      <c r="F7" s="19">
        <f t="shared" si="1"/>
        <v>0</v>
      </c>
      <c r="G7" s="7"/>
      <c r="H7" s="19">
        <f t="shared" si="3"/>
        <v>0</v>
      </c>
      <c r="I7" s="20">
        <f t="shared" si="2"/>
        <v>0</v>
      </c>
    </row>
    <row r="8" spans="1:9" x14ac:dyDescent="0.25">
      <c r="A8" s="7">
        <v>106</v>
      </c>
      <c r="B8" s="7" t="s">
        <v>40</v>
      </c>
      <c r="C8" s="14" t="s">
        <v>62</v>
      </c>
      <c r="D8" s="7"/>
      <c r="E8" s="7">
        <f t="shared" si="0"/>
        <v>0</v>
      </c>
      <c r="F8" s="19">
        <f t="shared" si="1"/>
        <v>0</v>
      </c>
      <c r="G8" s="7"/>
      <c r="H8" s="19">
        <f t="shared" si="3"/>
        <v>0</v>
      </c>
      <c r="I8" s="20">
        <f t="shared" si="2"/>
        <v>0</v>
      </c>
    </row>
    <row r="9" spans="1:9" x14ac:dyDescent="0.25">
      <c r="A9" s="7">
        <v>107</v>
      </c>
      <c r="B9" s="7" t="s">
        <v>42</v>
      </c>
      <c r="C9" s="14" t="s">
        <v>63</v>
      </c>
      <c r="D9" s="7"/>
      <c r="E9" s="7">
        <f t="shared" si="0"/>
        <v>0</v>
      </c>
      <c r="F9" s="19">
        <f t="shared" si="1"/>
        <v>0</v>
      </c>
      <c r="G9" s="7"/>
      <c r="H9" s="19">
        <f t="shared" si="3"/>
        <v>0</v>
      </c>
      <c r="I9" s="20">
        <f t="shared" si="2"/>
        <v>0</v>
      </c>
    </row>
    <row r="10" spans="1:9" x14ac:dyDescent="0.25">
      <c r="A10" s="7">
        <v>108</v>
      </c>
      <c r="B10" s="7" t="s">
        <v>44</v>
      </c>
      <c r="C10" s="14" t="s">
        <v>64</v>
      </c>
      <c r="D10" s="7"/>
      <c r="E10" s="7">
        <f t="shared" si="0"/>
        <v>0</v>
      </c>
      <c r="F10" s="19">
        <f t="shared" si="1"/>
        <v>0</v>
      </c>
      <c r="G10" s="7"/>
      <c r="H10" s="19">
        <f t="shared" si="3"/>
        <v>0</v>
      </c>
      <c r="I10" s="20">
        <f t="shared" si="2"/>
        <v>0</v>
      </c>
    </row>
    <row r="11" spans="1:9" x14ac:dyDescent="0.25">
      <c r="A11" s="7">
        <v>109</v>
      </c>
      <c r="B11" s="7" t="s">
        <v>40</v>
      </c>
      <c r="C11" s="14" t="s">
        <v>65</v>
      </c>
      <c r="D11" s="7"/>
      <c r="E11" s="7">
        <f t="shared" si="0"/>
        <v>0</v>
      </c>
      <c r="F11" s="19">
        <f t="shared" si="1"/>
        <v>0</v>
      </c>
      <c r="G11" s="7"/>
      <c r="H11" s="19">
        <f t="shared" si="3"/>
        <v>0</v>
      </c>
      <c r="I11" s="20">
        <f t="shared" si="2"/>
        <v>0</v>
      </c>
    </row>
    <row r="12" spans="1:9" x14ac:dyDescent="0.25">
      <c r="A12" s="7">
        <v>110</v>
      </c>
      <c r="B12" s="7" t="s">
        <v>41</v>
      </c>
      <c r="C12" s="14" t="s">
        <v>22</v>
      </c>
      <c r="D12" s="7"/>
      <c r="E12" s="7">
        <f t="shared" si="0"/>
        <v>0</v>
      </c>
      <c r="F12" s="19">
        <f t="shared" si="1"/>
        <v>0</v>
      </c>
      <c r="G12" s="7"/>
      <c r="H12" s="19">
        <f t="shared" si="3"/>
        <v>0</v>
      </c>
      <c r="I12" s="20">
        <f t="shared" si="2"/>
        <v>0</v>
      </c>
    </row>
    <row r="13" spans="1:9" x14ac:dyDescent="0.25">
      <c r="A13" s="7">
        <v>111</v>
      </c>
      <c r="B13" s="7" t="s">
        <v>42</v>
      </c>
      <c r="C13" s="14" t="s">
        <v>66</v>
      </c>
      <c r="D13" s="7"/>
      <c r="E13" s="7">
        <f t="shared" si="0"/>
        <v>0</v>
      </c>
      <c r="F13" s="19">
        <f t="shared" si="1"/>
        <v>0</v>
      </c>
      <c r="G13" s="7"/>
      <c r="H13" s="19">
        <f t="shared" si="3"/>
        <v>0</v>
      </c>
      <c r="I13" s="20">
        <f t="shared" si="2"/>
        <v>0</v>
      </c>
    </row>
    <row r="14" spans="1:9" x14ac:dyDescent="0.25">
      <c r="A14" s="7">
        <v>112</v>
      </c>
      <c r="B14" s="7" t="s">
        <v>43</v>
      </c>
      <c r="C14" s="14" t="s">
        <v>67</v>
      </c>
      <c r="D14" s="7"/>
      <c r="E14" s="7">
        <f t="shared" si="0"/>
        <v>0</v>
      </c>
      <c r="F14" s="19">
        <f t="shared" si="1"/>
        <v>0</v>
      </c>
      <c r="G14" s="7"/>
      <c r="H14" s="19">
        <f t="shared" si="3"/>
        <v>0</v>
      </c>
      <c r="I14" s="20">
        <f t="shared" si="2"/>
        <v>0</v>
      </c>
    </row>
    <row r="15" spans="1:9" x14ac:dyDescent="0.25">
      <c r="A15" s="7">
        <v>113</v>
      </c>
      <c r="B15" s="7" t="s">
        <v>44</v>
      </c>
      <c r="C15" s="14" t="s">
        <v>67</v>
      </c>
      <c r="D15" s="7"/>
      <c r="E15" s="7">
        <f t="shared" si="0"/>
        <v>0</v>
      </c>
      <c r="F15" s="19">
        <f t="shared" si="1"/>
        <v>0</v>
      </c>
      <c r="G15" s="7"/>
      <c r="H15" s="19">
        <f t="shared" si="3"/>
        <v>0</v>
      </c>
      <c r="I15" s="20">
        <f t="shared" si="2"/>
        <v>0</v>
      </c>
    </row>
    <row r="16" spans="1:9" x14ac:dyDescent="0.25">
      <c r="A16" s="7">
        <v>114</v>
      </c>
      <c r="B16" s="7" t="s">
        <v>40</v>
      </c>
      <c r="C16" s="14" t="s">
        <v>83</v>
      </c>
      <c r="D16" s="7"/>
      <c r="E16" s="7">
        <f t="shared" si="0"/>
        <v>0</v>
      </c>
      <c r="F16" s="19">
        <f t="shared" si="1"/>
        <v>0</v>
      </c>
      <c r="G16" s="7"/>
      <c r="H16" s="19">
        <f t="shared" si="3"/>
        <v>0</v>
      </c>
      <c r="I16" s="20">
        <f t="shared" si="2"/>
        <v>0</v>
      </c>
    </row>
    <row r="17" spans="1:9" x14ac:dyDescent="0.25">
      <c r="A17" s="7">
        <v>115</v>
      </c>
      <c r="B17" s="7" t="s">
        <v>40</v>
      </c>
      <c r="C17" s="14" t="s">
        <v>84</v>
      </c>
      <c r="D17" s="7"/>
      <c r="E17" s="7">
        <f t="shared" si="0"/>
        <v>0</v>
      </c>
      <c r="F17" s="19">
        <f t="shared" si="1"/>
        <v>0</v>
      </c>
      <c r="G17" s="7"/>
      <c r="H17" s="19">
        <f t="shared" si="3"/>
        <v>0</v>
      </c>
      <c r="I17" s="20">
        <f t="shared" si="2"/>
        <v>0</v>
      </c>
    </row>
  </sheetData>
  <customSheetViews>
    <customSheetView guid="{D6BA57A5-118E-4B58-A351-7E1C36DA5B56}">
      <selection activeCell="D20" sqref="D20:D21"/>
      <pageMargins left="0.7" right="0.7" top="0.75" bottom="0.75" header="0.3" footer="0.3"/>
    </customSheetView>
    <customSheetView guid="{05B8E57A-BB97-41F0-B6FB-606E79293C77}">
      <selection activeCell="D20" sqref="D20:D21"/>
      <pageMargins left="0.7" right="0.7" top="0.75" bottom="0.75" header="0.3" footer="0.3"/>
    </customSheetView>
    <customSheetView guid="{3C013989-8552-4FE1-BB7E-C88994E2D13D}">
      <selection activeCell="D20" sqref="D20:D21"/>
      <pageMargins left="0.7" right="0.7" top="0.75" bottom="0.75" header="0.3" footer="0.3"/>
    </customSheetView>
    <customSheetView guid="{75B547B5-834C-4784-8C45-4C35B93C736F}">
      <selection activeCell="D20" sqref="D20:D21"/>
      <pageMargins left="0.7" right="0.7" top="0.75" bottom="0.75" header="0.3" footer="0.3"/>
    </customSheetView>
  </customSheetViews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16"/>
  <sheetViews>
    <sheetView workbookViewId="0">
      <selection activeCell="G11" sqref="G11"/>
    </sheetView>
  </sheetViews>
  <sheetFormatPr defaultRowHeight="15" x14ac:dyDescent="0.25"/>
  <cols>
    <col min="1" max="1" width="17.42578125" customWidth="1"/>
    <col min="2" max="2" width="10.85546875" customWidth="1"/>
    <col min="3" max="3" width="11.140625" customWidth="1"/>
    <col min="4" max="4" width="11.5703125" customWidth="1"/>
    <col min="5" max="5" width="11.140625" customWidth="1"/>
  </cols>
  <sheetData>
    <row r="1" spans="1:7" ht="21" x14ac:dyDescent="0.35">
      <c r="A1" s="250" t="s">
        <v>249</v>
      </c>
      <c r="B1" s="250"/>
      <c r="C1" s="250"/>
      <c r="D1" s="250"/>
      <c r="E1" s="250"/>
      <c r="F1" s="250"/>
    </row>
    <row r="2" spans="1:7" x14ac:dyDescent="0.25">
      <c r="A2" s="59" t="s">
        <v>248</v>
      </c>
      <c r="B2" s="59" t="s">
        <v>85</v>
      </c>
      <c r="C2" s="59" t="s">
        <v>86</v>
      </c>
      <c r="D2" s="59" t="s">
        <v>87</v>
      </c>
      <c r="E2" s="59" t="s">
        <v>88</v>
      </c>
      <c r="F2" s="59" t="s">
        <v>37</v>
      </c>
    </row>
    <row r="3" spans="1:7" x14ac:dyDescent="0.25">
      <c r="A3" s="22" t="s">
        <v>245</v>
      </c>
      <c r="B3" s="7">
        <v>25000</v>
      </c>
      <c r="C3" s="7">
        <v>55000</v>
      </c>
      <c r="D3" s="7"/>
      <c r="E3" s="7"/>
      <c r="F3" s="60"/>
    </row>
    <row r="4" spans="1:7" x14ac:dyDescent="0.25">
      <c r="A4" s="22" t="s">
        <v>246</v>
      </c>
      <c r="B4" s="7">
        <v>35000</v>
      </c>
      <c r="C4" s="7">
        <v>50000</v>
      </c>
      <c r="D4" s="7"/>
      <c r="E4" s="7"/>
      <c r="F4" s="60"/>
    </row>
    <row r="5" spans="1:7" x14ac:dyDescent="0.25">
      <c r="A5" s="22" t="s">
        <v>247</v>
      </c>
      <c r="B5" s="7">
        <v>45000</v>
      </c>
      <c r="C5" s="7">
        <v>65000</v>
      </c>
      <c r="D5" s="7"/>
      <c r="E5" s="7"/>
      <c r="F5" s="60"/>
    </row>
    <row r="6" spans="1:7" ht="15.75" x14ac:dyDescent="0.25">
      <c r="A6" s="62" t="s">
        <v>37</v>
      </c>
      <c r="B6" s="60"/>
      <c r="C6" s="60"/>
      <c r="D6" s="60"/>
      <c r="E6" s="60"/>
      <c r="F6" s="251"/>
    </row>
    <row r="7" spans="1:7" ht="15.75" x14ac:dyDescent="0.25">
      <c r="A7" s="62" t="s">
        <v>89</v>
      </c>
      <c r="B7" s="60"/>
      <c r="C7" s="60"/>
      <c r="D7" s="60"/>
      <c r="E7" s="60"/>
      <c r="F7" s="252"/>
    </row>
    <row r="8" spans="1:7" ht="15.75" x14ac:dyDescent="0.25">
      <c r="A8" s="62" t="s">
        <v>90</v>
      </c>
      <c r="B8" s="60"/>
      <c r="C8" s="60"/>
      <c r="D8" s="60"/>
      <c r="E8" s="60"/>
      <c r="F8" s="252"/>
    </row>
    <row r="9" spans="1:7" ht="15.75" x14ac:dyDescent="0.25">
      <c r="A9" s="62" t="s">
        <v>91</v>
      </c>
      <c r="B9" s="61"/>
      <c r="C9" s="61"/>
      <c r="D9" s="61"/>
      <c r="E9" s="61"/>
      <c r="F9" s="253"/>
    </row>
    <row r="14" spans="1:7" x14ac:dyDescent="0.25">
      <c r="B14">
        <v>13000</v>
      </c>
      <c r="C14">
        <v>12000</v>
      </c>
      <c r="E14">
        <f>C14+B14</f>
        <v>25000</v>
      </c>
    </row>
    <row r="16" spans="1:7" x14ac:dyDescent="0.25">
      <c r="G16">
        <v>0</v>
      </c>
    </row>
  </sheetData>
  <scenarios current="1" show="1" sqref="A14">
    <scenario name="March" locked="1" count="12" user="IRFAN AFRIDI" comment="Created by IRFAN AFRIDI on 8/18/2021">
      <inputCells r="A2" val="Regions"/>
      <inputCells r="B2" val="Quarter 1"/>
      <inputCells r="C2" val="Quarter 2"/>
      <inputCells r="A3" val="Orangi"/>
      <inputCells r="B3" val="20000"/>
      <inputCells r="C3" val="50000"/>
      <inputCells r="A4" val="Baldia"/>
      <inputCells r="B4" val="30000"/>
      <inputCells r="C4" val="60000"/>
      <inputCells r="A5" val="Landhi"/>
      <inputCells r="B5" val="40000"/>
      <inputCells r="C5" val="70000"/>
    </scenario>
    <scenario name="April" locked="1" count="12" user="IRFAN AFRIDI" comment="Created by IRFAN AFRIDI on 8/18/2021">
      <inputCells r="A2" val="Regions"/>
      <inputCells r="B2" val="Quarter 1"/>
      <inputCells r="C2" val="Quarter 2"/>
      <inputCells r="A3" val="Orangi"/>
      <inputCells r="B3" val="25000"/>
      <inputCells r="C3" val="55000"/>
      <inputCells r="A4" val="Baldia"/>
      <inputCells r="B4" val="35000"/>
      <inputCells r="C4" val="50000"/>
      <inputCells r="A5" val="Landhi"/>
      <inputCells r="B5" val="45000"/>
      <inputCells r="C5" val="65000"/>
    </scenario>
  </scenarios>
  <customSheetViews>
    <customSheetView guid="{D6BA57A5-118E-4B58-A351-7E1C36DA5B56}">
      <selection activeCell="B14" sqref="B14"/>
      <pageMargins left="0.7" right="0.7" top="0.75" bottom="0.75" header="0.3" footer="0.3"/>
      <pageSetup orientation="portrait" r:id="rId1"/>
    </customSheetView>
    <customSheetView guid="{05B8E57A-BB97-41F0-B6FB-606E79293C77}">
      <selection activeCell="G11" sqref="G11"/>
      <pageMargins left="0.7" right="0.7" top="0.75" bottom="0.75" header="0.3" footer="0.3"/>
      <pageSetup orientation="portrait" r:id="rId2"/>
    </customSheetView>
    <customSheetView guid="{3C013989-8552-4FE1-BB7E-C88994E2D13D}">
      <selection activeCell="B14" sqref="B14"/>
      <pageMargins left="0.7" right="0.7" top="0.75" bottom="0.75" header="0.3" footer="0.3"/>
      <pageSetup orientation="portrait" r:id="rId3"/>
    </customSheetView>
    <customSheetView guid="{75B547B5-834C-4784-8C45-4C35B93C736F}">
      <selection activeCell="B14" sqref="B14"/>
      <pageMargins left="0.7" right="0.7" top="0.75" bottom="0.75" header="0.3" footer="0.3"/>
      <pageSetup orientation="portrait" r:id="rId4"/>
    </customSheetView>
  </customSheetViews>
  <mergeCells count="2">
    <mergeCell ref="A1:F1"/>
    <mergeCell ref="F6:F9"/>
  </mergeCell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AL55"/>
  <sheetViews>
    <sheetView tabSelected="1" zoomScale="96" zoomScaleNormal="96" zoomScalePageLayoutView="55" workbookViewId="0">
      <selection activeCell="B1" sqref="B1"/>
    </sheetView>
  </sheetViews>
  <sheetFormatPr defaultRowHeight="15" x14ac:dyDescent="0.25"/>
  <cols>
    <col min="1" max="1" width="10.5703125" customWidth="1"/>
    <col min="2" max="31" width="2.85546875" customWidth="1"/>
    <col min="32" max="32" width="4.28515625" bestFit="1" customWidth="1"/>
    <col min="33" max="35" width="3.5703125" customWidth="1"/>
    <col min="36" max="36" width="12.28515625" customWidth="1"/>
    <col min="37" max="37" width="6" bestFit="1" customWidth="1"/>
    <col min="38" max="38" width="18.28515625" bestFit="1" customWidth="1"/>
  </cols>
  <sheetData>
    <row r="1" spans="1:38" ht="65.25" customHeight="1" x14ac:dyDescent="0.25">
      <c r="A1" s="123" t="s">
        <v>0</v>
      </c>
      <c r="B1" s="123">
        <v>1</v>
      </c>
      <c r="C1" s="123">
        <v>2</v>
      </c>
      <c r="D1" s="123">
        <v>3</v>
      </c>
      <c r="E1" s="123">
        <v>4</v>
      </c>
      <c r="F1" s="123">
        <v>5</v>
      </c>
      <c r="G1" s="123">
        <v>6</v>
      </c>
      <c r="H1" s="123">
        <v>7</v>
      </c>
      <c r="I1" s="123">
        <v>8</v>
      </c>
      <c r="J1" s="123">
        <v>9</v>
      </c>
      <c r="K1" s="123">
        <v>10</v>
      </c>
      <c r="L1" s="123">
        <v>11</v>
      </c>
      <c r="M1" s="123">
        <v>12</v>
      </c>
      <c r="N1" s="123">
        <v>13</v>
      </c>
      <c r="O1" s="123">
        <v>14</v>
      </c>
      <c r="P1" s="123">
        <v>15</v>
      </c>
      <c r="Q1" s="123" t="s">
        <v>539</v>
      </c>
      <c r="R1" s="123">
        <v>17</v>
      </c>
      <c r="S1" s="123">
        <v>18</v>
      </c>
      <c r="T1" s="123">
        <v>19</v>
      </c>
      <c r="U1" s="123">
        <v>20</v>
      </c>
      <c r="V1" s="123">
        <v>21</v>
      </c>
      <c r="W1" s="123">
        <v>22</v>
      </c>
      <c r="X1" s="123">
        <v>23</v>
      </c>
      <c r="Y1" s="123">
        <v>24</v>
      </c>
      <c r="Z1" s="123">
        <v>25</v>
      </c>
      <c r="AA1" s="123">
        <v>26</v>
      </c>
      <c r="AB1" s="123">
        <v>27</v>
      </c>
      <c r="AC1" s="123">
        <v>28</v>
      </c>
      <c r="AD1" s="123">
        <v>29</v>
      </c>
      <c r="AE1" s="123">
        <v>30</v>
      </c>
      <c r="AF1" s="124" t="s">
        <v>566</v>
      </c>
      <c r="AG1" s="123" t="s">
        <v>390</v>
      </c>
      <c r="AH1" s="123" t="s">
        <v>40</v>
      </c>
      <c r="AI1" s="123" t="s">
        <v>391</v>
      </c>
      <c r="AJ1" s="123" t="s">
        <v>95</v>
      </c>
      <c r="AK1" s="136" t="s">
        <v>7</v>
      </c>
      <c r="AL1" s="136" t="s">
        <v>428</v>
      </c>
    </row>
    <row r="2" spans="1:38" ht="15" customHeight="1" x14ac:dyDescent="0.25">
      <c r="A2" s="7" t="s">
        <v>96</v>
      </c>
      <c r="B2" s="100" t="s">
        <v>390</v>
      </c>
      <c r="C2" s="100" t="s">
        <v>390</v>
      </c>
      <c r="D2" s="100" t="s">
        <v>390</v>
      </c>
      <c r="E2" s="100" t="s">
        <v>390</v>
      </c>
      <c r="F2" s="100" t="s">
        <v>390</v>
      </c>
      <c r="G2" s="100" t="s">
        <v>390</v>
      </c>
      <c r="H2" s="201" t="s">
        <v>469</v>
      </c>
      <c r="I2" s="100" t="s">
        <v>390</v>
      </c>
      <c r="J2" s="100" t="s">
        <v>390</v>
      </c>
      <c r="K2" s="100" t="s">
        <v>390</v>
      </c>
      <c r="L2" s="100" t="s">
        <v>390</v>
      </c>
      <c r="M2" s="100" t="s">
        <v>390</v>
      </c>
      <c r="N2" s="100" t="s">
        <v>390</v>
      </c>
      <c r="O2" s="101"/>
      <c r="P2" s="100" t="s">
        <v>99</v>
      </c>
      <c r="Q2" s="100" t="s">
        <v>99</v>
      </c>
      <c r="R2" s="100" t="s">
        <v>99</v>
      </c>
      <c r="S2" s="100" t="s">
        <v>99</v>
      </c>
      <c r="T2" s="100" t="s">
        <v>99</v>
      </c>
      <c r="U2" s="100" t="s">
        <v>99</v>
      </c>
      <c r="V2" s="101"/>
      <c r="W2" s="100" t="s">
        <v>99</v>
      </c>
      <c r="X2" s="100" t="s">
        <v>99</v>
      </c>
      <c r="Y2" s="100" t="s">
        <v>99</v>
      </c>
      <c r="Z2" s="100" t="s">
        <v>99</v>
      </c>
      <c r="AA2" s="100" t="s">
        <v>99</v>
      </c>
      <c r="AB2" s="100" t="s">
        <v>99</v>
      </c>
      <c r="AC2" s="101"/>
      <c r="AD2" s="100" t="s">
        <v>99</v>
      </c>
      <c r="AE2" s="100" t="s">
        <v>99</v>
      </c>
      <c r="AF2" s="7" t="s">
        <v>540</v>
      </c>
      <c r="AG2" s="7">
        <f>COUNTIF(B2:AE2, "P")</f>
        <v>26</v>
      </c>
      <c r="AH2" s="7">
        <f>COUNTIF(B2:AE2, "A")</f>
        <v>0</v>
      </c>
      <c r="AI2" s="7">
        <f>COUNTIF(B2:AE2, "L")</f>
        <v>0</v>
      </c>
      <c r="AJ2" s="7" t="str">
        <f>IF(AH2=0, "Excellent!", IF(AH2=1, "Good", IF(AH2=2, "Fair", IF(AH2=3, "Be Punctual", IF(AH2=4, "Plz Contact", "Struck off")))))</f>
        <v>Excellent!</v>
      </c>
      <c r="AK2" s="137">
        <f>AG2*100/26</f>
        <v>100</v>
      </c>
      <c r="AL2" s="41" t="str">
        <f>IF(AND(AK2&gt;70, AK2&lt;=100),"Eligible","Not Eligible")</f>
        <v>Eligible</v>
      </c>
    </row>
    <row r="3" spans="1:38" x14ac:dyDescent="0.25">
      <c r="A3" s="7" t="s">
        <v>20</v>
      </c>
      <c r="B3" s="100" t="s">
        <v>99</v>
      </c>
      <c r="C3" s="100" t="s">
        <v>99</v>
      </c>
      <c r="D3" s="100" t="s">
        <v>99</v>
      </c>
      <c r="E3" s="100" t="s">
        <v>99</v>
      </c>
      <c r="F3" s="100" t="s">
        <v>99</v>
      </c>
      <c r="G3" s="100" t="s">
        <v>99</v>
      </c>
      <c r="H3" s="202"/>
      <c r="I3" s="100" t="s">
        <v>40</v>
      </c>
      <c r="J3" s="100" t="s">
        <v>99</v>
      </c>
      <c r="K3" s="100" t="s">
        <v>99</v>
      </c>
      <c r="L3" s="100" t="s">
        <v>99</v>
      </c>
      <c r="M3" s="100" t="s">
        <v>99</v>
      </c>
      <c r="N3" s="100" t="s">
        <v>99</v>
      </c>
      <c r="O3" s="101"/>
      <c r="P3" s="100" t="s">
        <v>99</v>
      </c>
      <c r="Q3" s="100" t="s">
        <v>99</v>
      </c>
      <c r="R3" s="100" t="s">
        <v>99</v>
      </c>
      <c r="S3" s="100" t="s">
        <v>99</v>
      </c>
      <c r="T3" s="100" t="s">
        <v>99</v>
      </c>
      <c r="U3" s="100" t="s">
        <v>99</v>
      </c>
      <c r="V3" s="101"/>
      <c r="W3" s="100" t="s">
        <v>99</v>
      </c>
      <c r="X3" s="100" t="s">
        <v>99</v>
      </c>
      <c r="Y3" s="100" t="s">
        <v>99</v>
      </c>
      <c r="Z3" s="100" t="s">
        <v>99</v>
      </c>
      <c r="AA3" s="100" t="s">
        <v>99</v>
      </c>
      <c r="AB3" s="100" t="s">
        <v>99</v>
      </c>
      <c r="AC3" s="101"/>
      <c r="AD3" s="100" t="s">
        <v>99</v>
      </c>
      <c r="AE3" s="100" t="s">
        <v>99</v>
      </c>
      <c r="AF3" s="7">
        <v>26</v>
      </c>
      <c r="AG3" s="7">
        <f t="shared" ref="AG3:AG34" si="0">COUNTIF(B3:AE3, "P")</f>
        <v>25</v>
      </c>
      <c r="AH3" s="7">
        <f t="shared" ref="AH3:AH34" si="1">COUNTIF(B3:AE3, "A")</f>
        <v>1</v>
      </c>
      <c r="AI3" s="7">
        <f t="shared" ref="AI3:AI34" si="2">COUNTIF(B3:AE3, "L")</f>
        <v>0</v>
      </c>
      <c r="AJ3" s="7" t="str">
        <f t="shared" ref="AJ3:AJ34" si="3">IF(AH3=0, "Excellent!", IF(AH3=1, "Good", IF(AH3=2, "Fair", IF(AH3=3, "Be Punctual", IF(AH3=4, "Plz Contact", "Struck off")))))</f>
        <v>Good</v>
      </c>
      <c r="AK3" s="137">
        <f t="shared" ref="AK3:AK34" si="4">AG3*100/26</f>
        <v>96.15384615384616</v>
      </c>
      <c r="AL3" s="41" t="str">
        <f t="shared" ref="AL3:AL34" si="5">IF(AND(AK3&gt;70, AK3&lt;=100),"Eligible","Not Eligible")</f>
        <v>Eligible</v>
      </c>
    </row>
    <row r="4" spans="1:38" x14ac:dyDescent="0.25">
      <c r="A4" s="7" t="s">
        <v>97</v>
      </c>
      <c r="B4" s="100" t="s">
        <v>99</v>
      </c>
      <c r="C4" s="100" t="s">
        <v>40</v>
      </c>
      <c r="D4" s="100" t="s">
        <v>40</v>
      </c>
      <c r="E4" s="100" t="s">
        <v>99</v>
      </c>
      <c r="F4" s="100" t="s">
        <v>99</v>
      </c>
      <c r="G4" s="100" t="s">
        <v>99</v>
      </c>
      <c r="H4" s="202"/>
      <c r="I4" s="100" t="s">
        <v>99</v>
      </c>
      <c r="J4" s="100" t="s">
        <v>99</v>
      </c>
      <c r="K4" s="100" t="s">
        <v>99</v>
      </c>
      <c r="L4" s="100" t="s">
        <v>99</v>
      </c>
      <c r="M4" s="100" t="s">
        <v>99</v>
      </c>
      <c r="N4" s="100" t="s">
        <v>99</v>
      </c>
      <c r="O4" s="101"/>
      <c r="P4" s="100" t="s">
        <v>99</v>
      </c>
      <c r="Q4" s="100" t="s">
        <v>99</v>
      </c>
      <c r="R4" s="100" t="s">
        <v>99</v>
      </c>
      <c r="S4" s="100" t="s">
        <v>99</v>
      </c>
      <c r="T4" s="100" t="s">
        <v>99</v>
      </c>
      <c r="U4" s="100" t="s">
        <v>99</v>
      </c>
      <c r="V4" s="101"/>
      <c r="W4" s="100" t="s">
        <v>99</v>
      </c>
      <c r="X4" s="100" t="s">
        <v>99</v>
      </c>
      <c r="Y4" s="100" t="s">
        <v>99</v>
      </c>
      <c r="Z4" s="100" t="s">
        <v>99</v>
      </c>
      <c r="AA4" s="100" t="s">
        <v>99</v>
      </c>
      <c r="AB4" s="100" t="s">
        <v>99</v>
      </c>
      <c r="AC4" s="101"/>
      <c r="AD4" s="100" t="s">
        <v>99</v>
      </c>
      <c r="AE4" s="100" t="s">
        <v>99</v>
      </c>
      <c r="AF4" s="7">
        <v>26</v>
      </c>
      <c r="AG4" s="7">
        <f t="shared" si="0"/>
        <v>24</v>
      </c>
      <c r="AH4" s="7">
        <f t="shared" si="1"/>
        <v>2</v>
      </c>
      <c r="AI4" s="7">
        <f t="shared" si="2"/>
        <v>0</v>
      </c>
      <c r="AJ4" s="7" t="str">
        <f t="shared" si="3"/>
        <v>Fair</v>
      </c>
      <c r="AK4" s="137">
        <f t="shared" si="4"/>
        <v>92.307692307692307</v>
      </c>
      <c r="AL4" s="41" t="str">
        <f t="shared" si="5"/>
        <v>Eligible</v>
      </c>
    </row>
    <row r="5" spans="1:38" x14ac:dyDescent="0.25">
      <c r="A5" s="7" t="s">
        <v>98</v>
      </c>
      <c r="B5" s="100" t="s">
        <v>99</v>
      </c>
      <c r="C5" s="100" t="s">
        <v>99</v>
      </c>
      <c r="D5" s="100" t="s">
        <v>40</v>
      </c>
      <c r="E5" s="100" t="s">
        <v>40</v>
      </c>
      <c r="F5" s="100" t="s">
        <v>100</v>
      </c>
      <c r="G5" s="100" t="s">
        <v>99</v>
      </c>
      <c r="H5" s="202"/>
      <c r="I5" s="100" t="s">
        <v>99</v>
      </c>
      <c r="J5" s="100" t="s">
        <v>99</v>
      </c>
      <c r="K5" s="100" t="s">
        <v>99</v>
      </c>
      <c r="L5" s="100" t="s">
        <v>99</v>
      </c>
      <c r="M5" s="100" t="s">
        <v>99</v>
      </c>
      <c r="N5" s="100" t="s">
        <v>99</v>
      </c>
      <c r="O5" s="101"/>
      <c r="P5" s="100" t="s">
        <v>99</v>
      </c>
      <c r="Q5" s="100" t="s">
        <v>99</v>
      </c>
      <c r="R5" s="100" t="s">
        <v>99</v>
      </c>
      <c r="S5" s="100" t="s">
        <v>99</v>
      </c>
      <c r="T5" s="100" t="s">
        <v>99</v>
      </c>
      <c r="U5" s="100" t="s">
        <v>99</v>
      </c>
      <c r="V5" s="101"/>
      <c r="W5" s="100" t="s">
        <v>99</v>
      </c>
      <c r="X5" s="100" t="s">
        <v>99</v>
      </c>
      <c r="Y5" s="100" t="s">
        <v>99</v>
      </c>
      <c r="Z5" s="100" t="s">
        <v>99</v>
      </c>
      <c r="AA5" s="100" t="s">
        <v>99</v>
      </c>
      <c r="AB5" s="100" t="s">
        <v>99</v>
      </c>
      <c r="AC5" s="101"/>
      <c r="AD5" s="100" t="s">
        <v>99</v>
      </c>
      <c r="AE5" s="100" t="s">
        <v>99</v>
      </c>
      <c r="AF5" s="7">
        <v>26</v>
      </c>
      <c r="AG5" s="7">
        <f t="shared" si="0"/>
        <v>23</v>
      </c>
      <c r="AH5" s="7">
        <f t="shared" si="1"/>
        <v>3</v>
      </c>
      <c r="AI5" s="7">
        <f t="shared" si="2"/>
        <v>0</v>
      </c>
      <c r="AJ5" s="7" t="str">
        <f t="shared" si="3"/>
        <v>Be Punctual</v>
      </c>
      <c r="AK5" s="137">
        <f t="shared" si="4"/>
        <v>88.461538461538467</v>
      </c>
      <c r="AL5" s="41" t="str">
        <f t="shared" si="5"/>
        <v>Eligible</v>
      </c>
    </row>
    <row r="6" spans="1:38" x14ac:dyDescent="0.25">
      <c r="A6" s="7" t="s">
        <v>11</v>
      </c>
      <c r="B6" s="100" t="s">
        <v>99</v>
      </c>
      <c r="C6" s="100" t="s">
        <v>40</v>
      </c>
      <c r="D6" s="100" t="s">
        <v>391</v>
      </c>
      <c r="E6" s="100" t="s">
        <v>391</v>
      </c>
      <c r="F6" s="100" t="s">
        <v>40</v>
      </c>
      <c r="G6" s="100" t="s">
        <v>40</v>
      </c>
      <c r="H6" s="202"/>
      <c r="I6" s="100" t="s">
        <v>40</v>
      </c>
      <c r="J6" s="100" t="s">
        <v>99</v>
      </c>
      <c r="K6" s="100" t="s">
        <v>99</v>
      </c>
      <c r="L6" s="100" t="s">
        <v>99</v>
      </c>
      <c r="M6" s="100" t="s">
        <v>99</v>
      </c>
      <c r="N6" s="100" t="s">
        <v>99</v>
      </c>
      <c r="O6" s="101"/>
      <c r="P6" s="100" t="s">
        <v>99</v>
      </c>
      <c r="Q6" s="100" t="s">
        <v>99</v>
      </c>
      <c r="R6" s="100" t="s">
        <v>99</v>
      </c>
      <c r="S6" s="100" t="s">
        <v>99</v>
      </c>
      <c r="T6" s="100" t="s">
        <v>99</v>
      </c>
      <c r="U6" s="100" t="s">
        <v>99</v>
      </c>
      <c r="V6" s="101"/>
      <c r="W6" s="100" t="s">
        <v>99</v>
      </c>
      <c r="X6" s="100" t="s">
        <v>99</v>
      </c>
      <c r="Y6" s="100" t="s">
        <v>99</v>
      </c>
      <c r="Z6" s="100" t="s">
        <v>99</v>
      </c>
      <c r="AA6" s="100" t="s">
        <v>99</v>
      </c>
      <c r="AB6" s="100" t="s">
        <v>99</v>
      </c>
      <c r="AC6" s="101"/>
      <c r="AD6" s="100" t="s">
        <v>99</v>
      </c>
      <c r="AE6" s="100" t="s">
        <v>99</v>
      </c>
      <c r="AF6" s="7">
        <v>26</v>
      </c>
      <c r="AG6" s="7">
        <f t="shared" si="0"/>
        <v>20</v>
      </c>
      <c r="AH6" s="7">
        <f t="shared" si="1"/>
        <v>4</v>
      </c>
      <c r="AI6" s="7">
        <f t="shared" si="2"/>
        <v>2</v>
      </c>
      <c r="AJ6" s="7" t="str">
        <f t="shared" si="3"/>
        <v>Plz Contact</v>
      </c>
      <c r="AK6" s="137">
        <f t="shared" si="4"/>
        <v>76.92307692307692</v>
      </c>
      <c r="AL6" s="41" t="str">
        <f t="shared" si="5"/>
        <v>Eligible</v>
      </c>
    </row>
    <row r="7" spans="1:38" x14ac:dyDescent="0.25">
      <c r="A7" s="7" t="s">
        <v>12</v>
      </c>
      <c r="B7" s="100" t="s">
        <v>99</v>
      </c>
      <c r="C7" s="100" t="s">
        <v>99</v>
      </c>
      <c r="D7" s="100" t="s">
        <v>99</v>
      </c>
      <c r="E7" s="100" t="s">
        <v>40</v>
      </c>
      <c r="F7" s="100" t="s">
        <v>40</v>
      </c>
      <c r="G7" s="100" t="s">
        <v>40</v>
      </c>
      <c r="H7" s="202"/>
      <c r="I7" s="100" t="s">
        <v>99</v>
      </c>
      <c r="J7" s="100" t="s">
        <v>40</v>
      </c>
      <c r="K7" s="100" t="s">
        <v>40</v>
      </c>
      <c r="L7" s="100" t="s">
        <v>40</v>
      </c>
      <c r="M7" s="100" t="s">
        <v>99</v>
      </c>
      <c r="N7" s="100" t="s">
        <v>99</v>
      </c>
      <c r="O7" s="101"/>
      <c r="P7" s="100" t="s">
        <v>40</v>
      </c>
      <c r="Q7" s="100" t="s">
        <v>40</v>
      </c>
      <c r="R7" s="100" t="s">
        <v>40</v>
      </c>
      <c r="S7" s="100" t="s">
        <v>99</v>
      </c>
      <c r="T7" s="100" t="s">
        <v>99</v>
      </c>
      <c r="U7" s="100" t="s">
        <v>99</v>
      </c>
      <c r="V7" s="101"/>
      <c r="W7" s="100" t="s">
        <v>99</v>
      </c>
      <c r="X7" s="100" t="s">
        <v>99</v>
      </c>
      <c r="Y7" s="100" t="s">
        <v>99</v>
      </c>
      <c r="Z7" s="100" t="s">
        <v>99</v>
      </c>
      <c r="AA7" s="100" t="s">
        <v>99</v>
      </c>
      <c r="AB7" s="100" t="s">
        <v>99</v>
      </c>
      <c r="AC7" s="101"/>
      <c r="AD7" s="100" t="s">
        <v>99</v>
      </c>
      <c r="AE7" s="100" t="s">
        <v>99</v>
      </c>
      <c r="AF7" s="7">
        <v>26</v>
      </c>
      <c r="AG7" s="7">
        <f t="shared" si="0"/>
        <v>17</v>
      </c>
      <c r="AH7" s="7">
        <f t="shared" si="1"/>
        <v>9</v>
      </c>
      <c r="AI7" s="7">
        <f t="shared" si="2"/>
        <v>0</v>
      </c>
      <c r="AJ7" s="7" t="str">
        <f t="shared" si="3"/>
        <v>Struck off</v>
      </c>
      <c r="AK7" s="137">
        <f t="shared" si="4"/>
        <v>65.384615384615387</v>
      </c>
      <c r="AL7" s="41" t="str">
        <f t="shared" si="5"/>
        <v>Not Eligible</v>
      </c>
    </row>
    <row r="8" spans="1:38" x14ac:dyDescent="0.25">
      <c r="A8" s="7" t="s">
        <v>16</v>
      </c>
      <c r="B8" s="100" t="s">
        <v>99</v>
      </c>
      <c r="C8" s="100" t="s">
        <v>99</v>
      </c>
      <c r="D8" s="100" t="s">
        <v>99</v>
      </c>
      <c r="E8" s="100" t="s">
        <v>99</v>
      </c>
      <c r="F8" s="100" t="s">
        <v>99</v>
      </c>
      <c r="G8" s="100" t="s">
        <v>99</v>
      </c>
      <c r="H8" s="202"/>
      <c r="I8" s="100" t="s">
        <v>99</v>
      </c>
      <c r="J8" s="100" t="s">
        <v>99</v>
      </c>
      <c r="K8" s="100" t="s">
        <v>99</v>
      </c>
      <c r="L8" s="100" t="s">
        <v>99</v>
      </c>
      <c r="M8" s="100" t="s">
        <v>99</v>
      </c>
      <c r="N8" s="100" t="s">
        <v>99</v>
      </c>
      <c r="O8" s="101"/>
      <c r="P8" s="100" t="s">
        <v>99</v>
      </c>
      <c r="Q8" s="100" t="s">
        <v>99</v>
      </c>
      <c r="R8" s="100" t="s">
        <v>99</v>
      </c>
      <c r="S8" s="100" t="s">
        <v>99</v>
      </c>
      <c r="T8" s="100" t="s">
        <v>99</v>
      </c>
      <c r="U8" s="100" t="s">
        <v>99</v>
      </c>
      <c r="V8" s="101"/>
      <c r="W8" s="100" t="s">
        <v>99</v>
      </c>
      <c r="X8" s="100" t="s">
        <v>99</v>
      </c>
      <c r="Y8" s="100" t="s">
        <v>99</v>
      </c>
      <c r="Z8" s="100" t="s">
        <v>99</v>
      </c>
      <c r="AA8" s="100" t="s">
        <v>99</v>
      </c>
      <c r="AB8" s="100" t="s">
        <v>99</v>
      </c>
      <c r="AC8" s="101"/>
      <c r="AD8" s="100" t="s">
        <v>99</v>
      </c>
      <c r="AE8" s="100" t="s">
        <v>99</v>
      </c>
      <c r="AF8" s="7">
        <v>26</v>
      </c>
      <c r="AG8" s="7">
        <f t="shared" si="0"/>
        <v>26</v>
      </c>
      <c r="AH8" s="7">
        <f t="shared" si="1"/>
        <v>0</v>
      </c>
      <c r="AI8" s="7">
        <f t="shared" si="2"/>
        <v>0</v>
      </c>
      <c r="AJ8" s="7" t="str">
        <f t="shared" si="3"/>
        <v>Excellent!</v>
      </c>
      <c r="AK8" s="137">
        <f t="shared" si="4"/>
        <v>100</v>
      </c>
      <c r="AL8" s="41" t="str">
        <f t="shared" si="5"/>
        <v>Eligible</v>
      </c>
    </row>
    <row r="9" spans="1:38" x14ac:dyDescent="0.25">
      <c r="A9" s="7" t="s">
        <v>15</v>
      </c>
      <c r="B9" s="100" t="s">
        <v>99</v>
      </c>
      <c r="C9" s="100" t="s">
        <v>99</v>
      </c>
      <c r="D9" s="100" t="s">
        <v>99</v>
      </c>
      <c r="E9" s="100" t="s">
        <v>99</v>
      </c>
      <c r="F9" s="100" t="s">
        <v>99</v>
      </c>
      <c r="G9" s="100" t="s">
        <v>99</v>
      </c>
      <c r="H9" s="202"/>
      <c r="I9" s="100" t="s">
        <v>40</v>
      </c>
      <c r="J9" s="100" t="s">
        <v>40</v>
      </c>
      <c r="K9" s="100" t="s">
        <v>40</v>
      </c>
      <c r="L9" s="100" t="s">
        <v>40</v>
      </c>
      <c r="M9" s="100" t="s">
        <v>40</v>
      </c>
      <c r="N9" s="100" t="s">
        <v>99</v>
      </c>
      <c r="O9" s="101"/>
      <c r="P9" s="100" t="s">
        <v>40</v>
      </c>
      <c r="Q9" s="100" t="s">
        <v>40</v>
      </c>
      <c r="R9" s="100" t="s">
        <v>40</v>
      </c>
      <c r="S9" s="100" t="s">
        <v>99</v>
      </c>
      <c r="T9" s="100" t="s">
        <v>99</v>
      </c>
      <c r="U9" s="100" t="s">
        <v>99</v>
      </c>
      <c r="V9" s="101"/>
      <c r="W9" s="100" t="s">
        <v>99</v>
      </c>
      <c r="X9" s="100" t="s">
        <v>99</v>
      </c>
      <c r="Y9" s="100" t="s">
        <v>99</v>
      </c>
      <c r="Z9" s="100" t="s">
        <v>99</v>
      </c>
      <c r="AA9" s="100" t="s">
        <v>99</v>
      </c>
      <c r="AB9" s="100" t="s">
        <v>99</v>
      </c>
      <c r="AC9" s="101"/>
      <c r="AD9" s="100" t="s">
        <v>99</v>
      </c>
      <c r="AE9" s="100" t="s">
        <v>99</v>
      </c>
      <c r="AF9" s="7">
        <v>26</v>
      </c>
      <c r="AG9" s="7">
        <f t="shared" si="0"/>
        <v>18</v>
      </c>
      <c r="AH9" s="7">
        <f t="shared" si="1"/>
        <v>8</v>
      </c>
      <c r="AI9" s="7">
        <f t="shared" si="2"/>
        <v>0</v>
      </c>
      <c r="AJ9" s="7" t="str">
        <f t="shared" si="3"/>
        <v>Struck off</v>
      </c>
      <c r="AK9" s="137">
        <f t="shared" si="4"/>
        <v>69.230769230769226</v>
      </c>
      <c r="AL9" s="41" t="str">
        <f t="shared" si="5"/>
        <v>Not Eligible</v>
      </c>
    </row>
    <row r="10" spans="1:38" x14ac:dyDescent="0.25">
      <c r="A10" s="7" t="s">
        <v>67</v>
      </c>
      <c r="B10" s="100" t="s">
        <v>99</v>
      </c>
      <c r="C10" s="100" t="s">
        <v>99</v>
      </c>
      <c r="D10" s="100" t="s">
        <v>99</v>
      </c>
      <c r="E10" s="100" t="s">
        <v>99</v>
      </c>
      <c r="F10" s="100" t="s">
        <v>391</v>
      </c>
      <c r="G10" s="100" t="s">
        <v>391</v>
      </c>
      <c r="H10" s="202"/>
      <c r="I10" s="100" t="s">
        <v>99</v>
      </c>
      <c r="J10" s="100" t="s">
        <v>99</v>
      </c>
      <c r="K10" s="100" t="s">
        <v>99</v>
      </c>
      <c r="L10" s="100" t="s">
        <v>99</v>
      </c>
      <c r="M10" s="100" t="s">
        <v>99</v>
      </c>
      <c r="N10" s="100" t="s">
        <v>99</v>
      </c>
      <c r="O10" s="101"/>
      <c r="P10" s="100" t="s">
        <v>99</v>
      </c>
      <c r="Q10" s="100" t="s">
        <v>99</v>
      </c>
      <c r="R10" s="100" t="s">
        <v>99</v>
      </c>
      <c r="S10" s="100" t="s">
        <v>99</v>
      </c>
      <c r="T10" s="100" t="s">
        <v>99</v>
      </c>
      <c r="U10" s="100" t="s">
        <v>99</v>
      </c>
      <c r="V10" s="101"/>
      <c r="W10" s="100" t="s">
        <v>99</v>
      </c>
      <c r="X10" s="100" t="s">
        <v>99</v>
      </c>
      <c r="Y10" s="100" t="s">
        <v>99</v>
      </c>
      <c r="Z10" s="100" t="s">
        <v>99</v>
      </c>
      <c r="AA10" s="100" t="s">
        <v>99</v>
      </c>
      <c r="AB10" s="100" t="s">
        <v>99</v>
      </c>
      <c r="AC10" s="101"/>
      <c r="AD10" s="100" t="s">
        <v>99</v>
      </c>
      <c r="AE10" s="100" t="s">
        <v>99</v>
      </c>
      <c r="AF10" s="7">
        <v>26</v>
      </c>
      <c r="AG10" s="7">
        <f t="shared" si="0"/>
        <v>24</v>
      </c>
      <c r="AH10" s="7">
        <f t="shared" si="1"/>
        <v>0</v>
      </c>
      <c r="AI10" s="7">
        <f t="shared" si="2"/>
        <v>2</v>
      </c>
      <c r="AJ10" s="7" t="str">
        <f t="shared" si="3"/>
        <v>Excellent!</v>
      </c>
      <c r="AK10" s="137">
        <f t="shared" si="4"/>
        <v>92.307692307692307</v>
      </c>
      <c r="AL10" s="41" t="str">
        <f t="shared" si="5"/>
        <v>Eligible</v>
      </c>
    </row>
    <row r="11" spans="1:38" x14ac:dyDescent="0.25">
      <c r="A11" s="7" t="s">
        <v>20</v>
      </c>
      <c r="B11" s="100" t="s">
        <v>99</v>
      </c>
      <c r="C11" s="100" t="s">
        <v>99</v>
      </c>
      <c r="D11" s="100" t="s">
        <v>99</v>
      </c>
      <c r="E11" s="100" t="s">
        <v>99</v>
      </c>
      <c r="F11" s="100" t="s">
        <v>99</v>
      </c>
      <c r="G11" s="100" t="s">
        <v>99</v>
      </c>
      <c r="H11" s="202"/>
      <c r="I11" s="100" t="s">
        <v>40</v>
      </c>
      <c r="J11" s="100" t="s">
        <v>99</v>
      </c>
      <c r="K11" s="100" t="s">
        <v>99</v>
      </c>
      <c r="L11" s="100" t="s">
        <v>99</v>
      </c>
      <c r="M11" s="100" t="s">
        <v>99</v>
      </c>
      <c r="N11" s="100" t="s">
        <v>99</v>
      </c>
      <c r="O11" s="101"/>
      <c r="P11" s="100" t="s">
        <v>99</v>
      </c>
      <c r="Q11" s="100" t="s">
        <v>99</v>
      </c>
      <c r="R11" s="100" t="s">
        <v>99</v>
      </c>
      <c r="S11" s="100" t="s">
        <v>99</v>
      </c>
      <c r="T11" s="100" t="s">
        <v>99</v>
      </c>
      <c r="U11" s="100" t="s">
        <v>99</v>
      </c>
      <c r="V11" s="101"/>
      <c r="W11" s="100" t="s">
        <v>99</v>
      </c>
      <c r="X11" s="100" t="s">
        <v>99</v>
      </c>
      <c r="Y11" s="100" t="s">
        <v>99</v>
      </c>
      <c r="Z11" s="100" t="s">
        <v>99</v>
      </c>
      <c r="AA11" s="100" t="s">
        <v>99</v>
      </c>
      <c r="AB11" s="100" t="s">
        <v>99</v>
      </c>
      <c r="AC11" s="101"/>
      <c r="AD11" s="100" t="s">
        <v>99</v>
      </c>
      <c r="AE11" s="100" t="s">
        <v>99</v>
      </c>
      <c r="AF11" s="7">
        <v>26</v>
      </c>
      <c r="AG11" s="7">
        <f t="shared" si="0"/>
        <v>25</v>
      </c>
      <c r="AH11" s="7">
        <f t="shared" si="1"/>
        <v>1</v>
      </c>
      <c r="AI11" s="7">
        <f t="shared" si="2"/>
        <v>0</v>
      </c>
      <c r="AJ11" s="7" t="str">
        <f t="shared" si="3"/>
        <v>Good</v>
      </c>
      <c r="AK11" s="137">
        <f t="shared" si="4"/>
        <v>96.15384615384616</v>
      </c>
      <c r="AL11" s="41" t="str">
        <f t="shared" si="5"/>
        <v>Eligible</v>
      </c>
    </row>
    <row r="12" spans="1:38" x14ac:dyDescent="0.25">
      <c r="A12" s="7" t="s">
        <v>97</v>
      </c>
      <c r="B12" s="100" t="s">
        <v>99</v>
      </c>
      <c r="C12" s="100" t="s">
        <v>40</v>
      </c>
      <c r="D12" s="100" t="s">
        <v>40</v>
      </c>
      <c r="E12" s="100" t="s">
        <v>99</v>
      </c>
      <c r="F12" s="100" t="s">
        <v>99</v>
      </c>
      <c r="G12" s="100" t="s">
        <v>99</v>
      </c>
      <c r="H12" s="202"/>
      <c r="I12" s="100" t="s">
        <v>99</v>
      </c>
      <c r="J12" s="100" t="s">
        <v>99</v>
      </c>
      <c r="K12" s="100" t="s">
        <v>99</v>
      </c>
      <c r="L12" s="100" t="s">
        <v>99</v>
      </c>
      <c r="M12" s="100" t="s">
        <v>99</v>
      </c>
      <c r="N12" s="100" t="s">
        <v>99</v>
      </c>
      <c r="O12" s="101"/>
      <c r="P12" s="100" t="s">
        <v>99</v>
      </c>
      <c r="Q12" s="100" t="s">
        <v>99</v>
      </c>
      <c r="R12" s="100" t="s">
        <v>99</v>
      </c>
      <c r="S12" s="100" t="s">
        <v>99</v>
      </c>
      <c r="T12" s="100" t="s">
        <v>99</v>
      </c>
      <c r="U12" s="100" t="s">
        <v>99</v>
      </c>
      <c r="V12" s="101"/>
      <c r="W12" s="100" t="s">
        <v>99</v>
      </c>
      <c r="X12" s="100" t="s">
        <v>99</v>
      </c>
      <c r="Y12" s="100" t="s">
        <v>99</v>
      </c>
      <c r="Z12" s="100" t="s">
        <v>99</v>
      </c>
      <c r="AA12" s="100" t="s">
        <v>99</v>
      </c>
      <c r="AB12" s="100" t="s">
        <v>99</v>
      </c>
      <c r="AC12" s="101"/>
      <c r="AD12" s="100" t="s">
        <v>99</v>
      </c>
      <c r="AE12" s="100" t="s">
        <v>99</v>
      </c>
      <c r="AF12" s="7">
        <v>26</v>
      </c>
      <c r="AG12" s="7">
        <f t="shared" si="0"/>
        <v>24</v>
      </c>
      <c r="AH12" s="7">
        <f t="shared" si="1"/>
        <v>2</v>
      </c>
      <c r="AI12" s="7">
        <f t="shared" si="2"/>
        <v>0</v>
      </c>
      <c r="AJ12" s="7" t="str">
        <f t="shared" si="3"/>
        <v>Fair</v>
      </c>
      <c r="AK12" s="137">
        <f t="shared" si="4"/>
        <v>92.307692307692307</v>
      </c>
      <c r="AL12" s="41" t="str">
        <f t="shared" si="5"/>
        <v>Eligible</v>
      </c>
    </row>
    <row r="13" spans="1:38" x14ac:dyDescent="0.25">
      <c r="A13" s="7" t="s">
        <v>98</v>
      </c>
      <c r="B13" s="100" t="s">
        <v>99</v>
      </c>
      <c r="C13" s="100" t="s">
        <v>99</v>
      </c>
      <c r="D13" s="100" t="s">
        <v>40</v>
      </c>
      <c r="E13" s="100" t="s">
        <v>40</v>
      </c>
      <c r="F13" s="100" t="s">
        <v>100</v>
      </c>
      <c r="G13" s="100" t="s">
        <v>99</v>
      </c>
      <c r="H13" s="202"/>
      <c r="I13" s="100" t="s">
        <v>99</v>
      </c>
      <c r="J13" s="100" t="s">
        <v>99</v>
      </c>
      <c r="K13" s="100" t="s">
        <v>99</v>
      </c>
      <c r="L13" s="100" t="s">
        <v>99</v>
      </c>
      <c r="M13" s="100" t="s">
        <v>99</v>
      </c>
      <c r="N13" s="100" t="s">
        <v>99</v>
      </c>
      <c r="O13" s="101"/>
      <c r="P13" s="100" t="s">
        <v>99</v>
      </c>
      <c r="Q13" s="100" t="s">
        <v>99</v>
      </c>
      <c r="R13" s="100" t="s">
        <v>99</v>
      </c>
      <c r="S13" s="100" t="s">
        <v>99</v>
      </c>
      <c r="T13" s="100" t="s">
        <v>99</v>
      </c>
      <c r="U13" s="100" t="s">
        <v>99</v>
      </c>
      <c r="V13" s="101"/>
      <c r="W13" s="100" t="s">
        <v>99</v>
      </c>
      <c r="X13" s="100" t="s">
        <v>99</v>
      </c>
      <c r="Y13" s="100" t="s">
        <v>99</v>
      </c>
      <c r="Z13" s="100" t="s">
        <v>99</v>
      </c>
      <c r="AA13" s="100" t="s">
        <v>99</v>
      </c>
      <c r="AB13" s="100" t="s">
        <v>99</v>
      </c>
      <c r="AC13" s="101"/>
      <c r="AD13" s="100" t="s">
        <v>99</v>
      </c>
      <c r="AE13" s="100" t="s">
        <v>99</v>
      </c>
      <c r="AF13" s="7">
        <v>26</v>
      </c>
      <c r="AG13" s="7">
        <f t="shared" si="0"/>
        <v>23</v>
      </c>
      <c r="AH13" s="7">
        <f t="shared" si="1"/>
        <v>3</v>
      </c>
      <c r="AI13" s="7">
        <f t="shared" si="2"/>
        <v>0</v>
      </c>
      <c r="AJ13" s="7" t="str">
        <f t="shared" si="3"/>
        <v>Be Punctual</v>
      </c>
      <c r="AK13" s="137">
        <f t="shared" si="4"/>
        <v>88.461538461538467</v>
      </c>
      <c r="AL13" s="41" t="str">
        <f t="shared" si="5"/>
        <v>Eligible</v>
      </c>
    </row>
    <row r="14" spans="1:38" x14ac:dyDescent="0.25">
      <c r="A14" s="7" t="s">
        <v>11</v>
      </c>
      <c r="B14" s="100" t="s">
        <v>99</v>
      </c>
      <c r="C14" s="100" t="s">
        <v>40</v>
      </c>
      <c r="D14" s="100" t="s">
        <v>391</v>
      </c>
      <c r="E14" s="100" t="s">
        <v>391</v>
      </c>
      <c r="F14" s="100" t="s">
        <v>40</v>
      </c>
      <c r="G14" s="100" t="s">
        <v>40</v>
      </c>
      <c r="H14" s="202"/>
      <c r="I14" s="100" t="s">
        <v>40</v>
      </c>
      <c r="J14" s="100" t="s">
        <v>99</v>
      </c>
      <c r="K14" s="100" t="s">
        <v>99</v>
      </c>
      <c r="L14" s="100" t="s">
        <v>99</v>
      </c>
      <c r="M14" s="100" t="s">
        <v>99</v>
      </c>
      <c r="N14" s="100" t="s">
        <v>99</v>
      </c>
      <c r="O14" s="101"/>
      <c r="P14" s="100" t="s">
        <v>99</v>
      </c>
      <c r="Q14" s="100" t="s">
        <v>99</v>
      </c>
      <c r="R14" s="100" t="s">
        <v>99</v>
      </c>
      <c r="S14" s="100" t="s">
        <v>99</v>
      </c>
      <c r="T14" s="100" t="s">
        <v>99</v>
      </c>
      <c r="U14" s="100" t="s">
        <v>99</v>
      </c>
      <c r="V14" s="101"/>
      <c r="W14" s="100" t="s">
        <v>99</v>
      </c>
      <c r="X14" s="100" t="s">
        <v>99</v>
      </c>
      <c r="Y14" s="100" t="s">
        <v>99</v>
      </c>
      <c r="Z14" s="100" t="s">
        <v>99</v>
      </c>
      <c r="AA14" s="100" t="s">
        <v>99</v>
      </c>
      <c r="AB14" s="100" t="s">
        <v>99</v>
      </c>
      <c r="AC14" s="101"/>
      <c r="AD14" s="100" t="s">
        <v>99</v>
      </c>
      <c r="AE14" s="100" t="s">
        <v>99</v>
      </c>
      <c r="AF14" s="7">
        <v>26</v>
      </c>
      <c r="AG14" s="7">
        <f t="shared" si="0"/>
        <v>20</v>
      </c>
      <c r="AH14" s="7">
        <f t="shared" si="1"/>
        <v>4</v>
      </c>
      <c r="AI14" s="7">
        <f t="shared" si="2"/>
        <v>2</v>
      </c>
      <c r="AJ14" s="7" t="str">
        <f t="shared" si="3"/>
        <v>Plz Contact</v>
      </c>
      <c r="AK14" s="137">
        <f t="shared" si="4"/>
        <v>76.92307692307692</v>
      </c>
      <c r="AL14" s="41" t="str">
        <f t="shared" si="5"/>
        <v>Eligible</v>
      </c>
    </row>
    <row r="15" spans="1:38" x14ac:dyDescent="0.25">
      <c r="A15" s="7" t="s">
        <v>12</v>
      </c>
      <c r="B15" s="100" t="s">
        <v>99</v>
      </c>
      <c r="C15" s="100" t="s">
        <v>99</v>
      </c>
      <c r="D15" s="100" t="s">
        <v>99</v>
      </c>
      <c r="E15" s="100" t="s">
        <v>40</v>
      </c>
      <c r="F15" s="100" t="s">
        <v>40</v>
      </c>
      <c r="G15" s="100" t="s">
        <v>40</v>
      </c>
      <c r="H15" s="202"/>
      <c r="I15" s="100" t="s">
        <v>99</v>
      </c>
      <c r="J15" s="100" t="s">
        <v>40</v>
      </c>
      <c r="K15" s="100" t="s">
        <v>40</v>
      </c>
      <c r="L15" s="100" t="s">
        <v>40</v>
      </c>
      <c r="M15" s="100" t="s">
        <v>99</v>
      </c>
      <c r="N15" s="100" t="s">
        <v>99</v>
      </c>
      <c r="O15" s="101"/>
      <c r="P15" s="100" t="s">
        <v>40</v>
      </c>
      <c r="Q15" s="100" t="s">
        <v>40</v>
      </c>
      <c r="R15" s="100" t="s">
        <v>40</v>
      </c>
      <c r="S15" s="100" t="s">
        <v>99</v>
      </c>
      <c r="T15" s="100" t="s">
        <v>99</v>
      </c>
      <c r="U15" s="100" t="s">
        <v>99</v>
      </c>
      <c r="V15" s="101"/>
      <c r="W15" s="100" t="s">
        <v>99</v>
      </c>
      <c r="X15" s="100" t="s">
        <v>99</v>
      </c>
      <c r="Y15" s="100" t="s">
        <v>99</v>
      </c>
      <c r="Z15" s="100" t="s">
        <v>99</v>
      </c>
      <c r="AA15" s="100" t="s">
        <v>99</v>
      </c>
      <c r="AB15" s="100" t="s">
        <v>99</v>
      </c>
      <c r="AC15" s="101"/>
      <c r="AD15" s="100" t="s">
        <v>99</v>
      </c>
      <c r="AE15" s="100" t="s">
        <v>99</v>
      </c>
      <c r="AF15" s="7">
        <v>26</v>
      </c>
      <c r="AG15" s="7">
        <f t="shared" si="0"/>
        <v>17</v>
      </c>
      <c r="AH15" s="7">
        <f t="shared" si="1"/>
        <v>9</v>
      </c>
      <c r="AI15" s="7">
        <f t="shared" si="2"/>
        <v>0</v>
      </c>
      <c r="AJ15" s="7" t="str">
        <f t="shared" si="3"/>
        <v>Struck off</v>
      </c>
      <c r="AK15" s="137">
        <f t="shared" si="4"/>
        <v>65.384615384615387</v>
      </c>
      <c r="AL15" s="41" t="str">
        <f t="shared" si="5"/>
        <v>Not Eligible</v>
      </c>
    </row>
    <row r="16" spans="1:38" x14ac:dyDescent="0.25">
      <c r="A16" s="7" t="s">
        <v>16</v>
      </c>
      <c r="B16" s="100" t="s">
        <v>99</v>
      </c>
      <c r="C16" s="100" t="s">
        <v>99</v>
      </c>
      <c r="D16" s="100" t="s">
        <v>99</v>
      </c>
      <c r="E16" s="100" t="s">
        <v>99</v>
      </c>
      <c r="F16" s="100" t="s">
        <v>99</v>
      </c>
      <c r="G16" s="100" t="s">
        <v>99</v>
      </c>
      <c r="H16" s="202"/>
      <c r="I16" s="100" t="s">
        <v>99</v>
      </c>
      <c r="J16" s="100" t="s">
        <v>99</v>
      </c>
      <c r="K16" s="100" t="s">
        <v>99</v>
      </c>
      <c r="L16" s="100" t="s">
        <v>99</v>
      </c>
      <c r="M16" s="100" t="s">
        <v>99</v>
      </c>
      <c r="N16" s="100" t="s">
        <v>99</v>
      </c>
      <c r="O16" s="101"/>
      <c r="P16" s="100" t="s">
        <v>99</v>
      </c>
      <c r="Q16" s="100" t="s">
        <v>99</v>
      </c>
      <c r="R16" s="100" t="s">
        <v>99</v>
      </c>
      <c r="S16" s="100" t="s">
        <v>99</v>
      </c>
      <c r="T16" s="100" t="s">
        <v>99</v>
      </c>
      <c r="U16" s="100" t="s">
        <v>99</v>
      </c>
      <c r="V16" s="101"/>
      <c r="W16" s="100" t="s">
        <v>99</v>
      </c>
      <c r="X16" s="100" t="s">
        <v>99</v>
      </c>
      <c r="Y16" s="100" t="s">
        <v>99</v>
      </c>
      <c r="Z16" s="100" t="s">
        <v>99</v>
      </c>
      <c r="AA16" s="100" t="s">
        <v>99</v>
      </c>
      <c r="AB16" s="100" t="s">
        <v>99</v>
      </c>
      <c r="AC16" s="101"/>
      <c r="AD16" s="100" t="s">
        <v>99</v>
      </c>
      <c r="AE16" s="100" t="s">
        <v>99</v>
      </c>
      <c r="AF16" s="7">
        <v>26</v>
      </c>
      <c r="AG16" s="7">
        <f t="shared" si="0"/>
        <v>26</v>
      </c>
      <c r="AH16" s="7">
        <f t="shared" si="1"/>
        <v>0</v>
      </c>
      <c r="AI16" s="7">
        <f t="shared" si="2"/>
        <v>0</v>
      </c>
      <c r="AJ16" s="7" t="str">
        <f t="shared" si="3"/>
        <v>Excellent!</v>
      </c>
      <c r="AK16" s="137">
        <f t="shared" si="4"/>
        <v>100</v>
      </c>
      <c r="AL16" s="41" t="str">
        <f t="shared" si="5"/>
        <v>Eligible</v>
      </c>
    </row>
    <row r="17" spans="1:38" x14ac:dyDescent="0.25">
      <c r="A17" s="7" t="s">
        <v>15</v>
      </c>
      <c r="B17" s="100" t="s">
        <v>99</v>
      </c>
      <c r="C17" s="100" t="s">
        <v>99</v>
      </c>
      <c r="D17" s="100" t="s">
        <v>99</v>
      </c>
      <c r="E17" s="100" t="s">
        <v>99</v>
      </c>
      <c r="F17" s="100" t="s">
        <v>99</v>
      </c>
      <c r="G17" s="100" t="s">
        <v>99</v>
      </c>
      <c r="H17" s="202"/>
      <c r="I17" s="100" t="s">
        <v>40</v>
      </c>
      <c r="J17" s="100" t="s">
        <v>40</v>
      </c>
      <c r="K17" s="100" t="s">
        <v>40</v>
      </c>
      <c r="L17" s="100" t="s">
        <v>40</v>
      </c>
      <c r="M17" s="100" t="s">
        <v>40</v>
      </c>
      <c r="N17" s="100" t="s">
        <v>99</v>
      </c>
      <c r="O17" s="101"/>
      <c r="P17" s="100" t="s">
        <v>40</v>
      </c>
      <c r="Q17" s="100" t="s">
        <v>40</v>
      </c>
      <c r="R17" s="100" t="s">
        <v>40</v>
      </c>
      <c r="S17" s="100" t="s">
        <v>99</v>
      </c>
      <c r="T17" s="100" t="s">
        <v>99</v>
      </c>
      <c r="U17" s="100" t="s">
        <v>99</v>
      </c>
      <c r="V17" s="101"/>
      <c r="W17" s="100" t="s">
        <v>99</v>
      </c>
      <c r="X17" s="100" t="s">
        <v>99</v>
      </c>
      <c r="Y17" s="100" t="s">
        <v>99</v>
      </c>
      <c r="Z17" s="100" t="s">
        <v>99</v>
      </c>
      <c r="AA17" s="100" t="s">
        <v>99</v>
      </c>
      <c r="AB17" s="100" t="s">
        <v>99</v>
      </c>
      <c r="AC17" s="101"/>
      <c r="AD17" s="100" t="s">
        <v>99</v>
      </c>
      <c r="AE17" s="100" t="s">
        <v>99</v>
      </c>
      <c r="AF17" s="7">
        <v>26</v>
      </c>
      <c r="AG17" s="7">
        <f t="shared" si="0"/>
        <v>18</v>
      </c>
      <c r="AH17" s="7">
        <f t="shared" si="1"/>
        <v>8</v>
      </c>
      <c r="AI17" s="7">
        <f t="shared" si="2"/>
        <v>0</v>
      </c>
      <c r="AJ17" s="7" t="str">
        <f t="shared" si="3"/>
        <v>Struck off</v>
      </c>
      <c r="AK17" s="137">
        <f t="shared" si="4"/>
        <v>69.230769230769226</v>
      </c>
      <c r="AL17" s="41" t="str">
        <f t="shared" si="5"/>
        <v>Not Eligible</v>
      </c>
    </row>
    <row r="18" spans="1:38" x14ac:dyDescent="0.25">
      <c r="A18" s="7" t="s">
        <v>67</v>
      </c>
      <c r="B18" s="100" t="s">
        <v>99</v>
      </c>
      <c r="C18" s="100" t="s">
        <v>99</v>
      </c>
      <c r="D18" s="100" t="s">
        <v>99</v>
      </c>
      <c r="E18" s="100" t="s">
        <v>99</v>
      </c>
      <c r="F18" s="100" t="s">
        <v>391</v>
      </c>
      <c r="G18" s="100" t="s">
        <v>391</v>
      </c>
      <c r="H18" s="202"/>
      <c r="I18" s="100" t="s">
        <v>99</v>
      </c>
      <c r="J18" s="100" t="s">
        <v>99</v>
      </c>
      <c r="K18" s="100" t="s">
        <v>99</v>
      </c>
      <c r="L18" s="100" t="s">
        <v>99</v>
      </c>
      <c r="M18" s="100" t="s">
        <v>99</v>
      </c>
      <c r="N18" s="100" t="s">
        <v>99</v>
      </c>
      <c r="O18" s="101"/>
      <c r="P18" s="100" t="s">
        <v>99</v>
      </c>
      <c r="Q18" s="100" t="s">
        <v>99</v>
      </c>
      <c r="R18" s="100" t="s">
        <v>99</v>
      </c>
      <c r="S18" s="100" t="s">
        <v>99</v>
      </c>
      <c r="T18" s="100" t="s">
        <v>99</v>
      </c>
      <c r="U18" s="100" t="s">
        <v>99</v>
      </c>
      <c r="V18" s="101"/>
      <c r="W18" s="100" t="s">
        <v>99</v>
      </c>
      <c r="X18" s="100" t="s">
        <v>99</v>
      </c>
      <c r="Y18" s="100" t="s">
        <v>99</v>
      </c>
      <c r="Z18" s="100" t="s">
        <v>99</v>
      </c>
      <c r="AA18" s="100" t="s">
        <v>99</v>
      </c>
      <c r="AB18" s="100" t="s">
        <v>99</v>
      </c>
      <c r="AC18" s="101"/>
      <c r="AD18" s="100" t="s">
        <v>99</v>
      </c>
      <c r="AE18" s="100" t="s">
        <v>99</v>
      </c>
      <c r="AF18" s="7">
        <v>26</v>
      </c>
      <c r="AG18" s="7">
        <f t="shared" si="0"/>
        <v>24</v>
      </c>
      <c r="AH18" s="7">
        <f t="shared" si="1"/>
        <v>0</v>
      </c>
      <c r="AI18" s="7">
        <f t="shared" si="2"/>
        <v>2</v>
      </c>
      <c r="AJ18" s="7" t="str">
        <f t="shared" si="3"/>
        <v>Excellent!</v>
      </c>
      <c r="AK18" s="137">
        <f t="shared" si="4"/>
        <v>92.307692307692307</v>
      </c>
      <c r="AL18" s="41" t="str">
        <f t="shared" si="5"/>
        <v>Eligible</v>
      </c>
    </row>
    <row r="19" spans="1:38" x14ac:dyDescent="0.25">
      <c r="A19" s="7" t="s">
        <v>20</v>
      </c>
      <c r="B19" s="100" t="s">
        <v>99</v>
      </c>
      <c r="C19" s="100" t="s">
        <v>99</v>
      </c>
      <c r="D19" s="100" t="s">
        <v>99</v>
      </c>
      <c r="E19" s="100" t="s">
        <v>99</v>
      </c>
      <c r="F19" s="100" t="s">
        <v>99</v>
      </c>
      <c r="G19" s="100" t="s">
        <v>99</v>
      </c>
      <c r="H19" s="202"/>
      <c r="I19" s="100" t="s">
        <v>40</v>
      </c>
      <c r="J19" s="100" t="s">
        <v>99</v>
      </c>
      <c r="K19" s="100" t="s">
        <v>99</v>
      </c>
      <c r="L19" s="100" t="s">
        <v>99</v>
      </c>
      <c r="M19" s="100" t="s">
        <v>99</v>
      </c>
      <c r="N19" s="100" t="s">
        <v>99</v>
      </c>
      <c r="O19" s="101"/>
      <c r="P19" s="100" t="s">
        <v>99</v>
      </c>
      <c r="Q19" s="100" t="s">
        <v>99</v>
      </c>
      <c r="R19" s="100" t="s">
        <v>99</v>
      </c>
      <c r="S19" s="100" t="s">
        <v>99</v>
      </c>
      <c r="T19" s="100" t="s">
        <v>99</v>
      </c>
      <c r="U19" s="100" t="s">
        <v>99</v>
      </c>
      <c r="V19" s="101"/>
      <c r="W19" s="100" t="s">
        <v>99</v>
      </c>
      <c r="X19" s="100" t="s">
        <v>99</v>
      </c>
      <c r="Y19" s="100" t="s">
        <v>99</v>
      </c>
      <c r="Z19" s="100" t="s">
        <v>99</v>
      </c>
      <c r="AA19" s="100" t="s">
        <v>99</v>
      </c>
      <c r="AB19" s="100" t="s">
        <v>99</v>
      </c>
      <c r="AC19" s="101"/>
      <c r="AD19" s="100" t="s">
        <v>99</v>
      </c>
      <c r="AE19" s="100" t="s">
        <v>99</v>
      </c>
      <c r="AF19" s="7">
        <v>26</v>
      </c>
      <c r="AG19" s="7">
        <f t="shared" si="0"/>
        <v>25</v>
      </c>
      <c r="AH19" s="7">
        <f t="shared" si="1"/>
        <v>1</v>
      </c>
      <c r="AI19" s="7">
        <f t="shared" si="2"/>
        <v>0</v>
      </c>
      <c r="AJ19" s="7" t="str">
        <f t="shared" si="3"/>
        <v>Good</v>
      </c>
      <c r="AK19" s="137">
        <f t="shared" si="4"/>
        <v>96.15384615384616</v>
      </c>
      <c r="AL19" s="41" t="str">
        <f t="shared" si="5"/>
        <v>Eligible</v>
      </c>
    </row>
    <row r="20" spans="1:38" x14ac:dyDescent="0.25">
      <c r="A20" s="7" t="s">
        <v>97</v>
      </c>
      <c r="B20" s="100" t="s">
        <v>99</v>
      </c>
      <c r="C20" s="100" t="s">
        <v>40</v>
      </c>
      <c r="D20" s="100" t="s">
        <v>40</v>
      </c>
      <c r="E20" s="100" t="s">
        <v>99</v>
      </c>
      <c r="F20" s="100" t="s">
        <v>99</v>
      </c>
      <c r="G20" s="100" t="s">
        <v>99</v>
      </c>
      <c r="H20" s="202"/>
      <c r="I20" s="100" t="s">
        <v>99</v>
      </c>
      <c r="J20" s="100" t="s">
        <v>99</v>
      </c>
      <c r="K20" s="100" t="s">
        <v>99</v>
      </c>
      <c r="L20" s="100" t="s">
        <v>99</v>
      </c>
      <c r="M20" s="100" t="s">
        <v>99</v>
      </c>
      <c r="N20" s="100" t="s">
        <v>99</v>
      </c>
      <c r="O20" s="101"/>
      <c r="P20" s="100" t="s">
        <v>99</v>
      </c>
      <c r="Q20" s="100" t="s">
        <v>99</v>
      </c>
      <c r="R20" s="100" t="s">
        <v>99</v>
      </c>
      <c r="S20" s="100" t="s">
        <v>99</v>
      </c>
      <c r="T20" s="100" t="s">
        <v>99</v>
      </c>
      <c r="U20" s="100" t="s">
        <v>99</v>
      </c>
      <c r="V20" s="101"/>
      <c r="W20" s="100" t="s">
        <v>99</v>
      </c>
      <c r="X20" s="100" t="s">
        <v>99</v>
      </c>
      <c r="Y20" s="100" t="s">
        <v>99</v>
      </c>
      <c r="Z20" s="100" t="s">
        <v>99</v>
      </c>
      <c r="AA20" s="100" t="s">
        <v>99</v>
      </c>
      <c r="AB20" s="100" t="s">
        <v>99</v>
      </c>
      <c r="AC20" s="101"/>
      <c r="AD20" s="100" t="s">
        <v>99</v>
      </c>
      <c r="AE20" s="100" t="s">
        <v>99</v>
      </c>
      <c r="AF20" s="7">
        <v>26</v>
      </c>
      <c r="AG20" s="7">
        <f t="shared" si="0"/>
        <v>24</v>
      </c>
      <c r="AH20" s="7">
        <f t="shared" si="1"/>
        <v>2</v>
      </c>
      <c r="AI20" s="7">
        <f t="shared" si="2"/>
        <v>0</v>
      </c>
      <c r="AJ20" s="7" t="str">
        <f t="shared" si="3"/>
        <v>Fair</v>
      </c>
      <c r="AK20" s="137">
        <f t="shared" si="4"/>
        <v>92.307692307692307</v>
      </c>
      <c r="AL20" s="41" t="str">
        <f t="shared" si="5"/>
        <v>Eligible</v>
      </c>
    </row>
    <row r="21" spans="1:38" x14ac:dyDescent="0.25">
      <c r="A21" s="7" t="s">
        <v>98</v>
      </c>
      <c r="B21" s="100" t="s">
        <v>99</v>
      </c>
      <c r="C21" s="100" t="s">
        <v>99</v>
      </c>
      <c r="D21" s="100" t="s">
        <v>40</v>
      </c>
      <c r="E21" s="100" t="s">
        <v>40</v>
      </c>
      <c r="F21" s="100" t="s">
        <v>100</v>
      </c>
      <c r="G21" s="100" t="s">
        <v>99</v>
      </c>
      <c r="H21" s="202"/>
      <c r="I21" s="100" t="s">
        <v>99</v>
      </c>
      <c r="J21" s="100" t="s">
        <v>99</v>
      </c>
      <c r="K21" s="100" t="s">
        <v>99</v>
      </c>
      <c r="L21" s="100" t="s">
        <v>99</v>
      </c>
      <c r="M21" s="100" t="s">
        <v>99</v>
      </c>
      <c r="N21" s="100" t="s">
        <v>99</v>
      </c>
      <c r="O21" s="101"/>
      <c r="P21" s="100" t="s">
        <v>99</v>
      </c>
      <c r="Q21" s="100" t="s">
        <v>99</v>
      </c>
      <c r="R21" s="100" t="s">
        <v>99</v>
      </c>
      <c r="S21" s="100" t="s">
        <v>99</v>
      </c>
      <c r="T21" s="100" t="s">
        <v>99</v>
      </c>
      <c r="U21" s="100" t="s">
        <v>99</v>
      </c>
      <c r="V21" s="101"/>
      <c r="W21" s="100" t="s">
        <v>99</v>
      </c>
      <c r="X21" s="100" t="s">
        <v>99</v>
      </c>
      <c r="Y21" s="100" t="s">
        <v>99</v>
      </c>
      <c r="Z21" s="100" t="s">
        <v>99</v>
      </c>
      <c r="AA21" s="100" t="s">
        <v>99</v>
      </c>
      <c r="AB21" s="100" t="s">
        <v>99</v>
      </c>
      <c r="AC21" s="101"/>
      <c r="AD21" s="100" t="s">
        <v>99</v>
      </c>
      <c r="AE21" s="100" t="s">
        <v>99</v>
      </c>
      <c r="AF21" s="7">
        <v>26</v>
      </c>
      <c r="AG21" s="7">
        <f t="shared" si="0"/>
        <v>23</v>
      </c>
      <c r="AH21" s="7">
        <f t="shared" si="1"/>
        <v>3</v>
      </c>
      <c r="AI21" s="7">
        <f t="shared" si="2"/>
        <v>0</v>
      </c>
      <c r="AJ21" s="7" t="str">
        <f t="shared" si="3"/>
        <v>Be Punctual</v>
      </c>
      <c r="AK21" s="137">
        <f t="shared" si="4"/>
        <v>88.461538461538467</v>
      </c>
      <c r="AL21" s="41" t="str">
        <f t="shared" si="5"/>
        <v>Eligible</v>
      </c>
    </row>
    <row r="22" spans="1:38" x14ac:dyDescent="0.25">
      <c r="A22" s="7" t="s">
        <v>11</v>
      </c>
      <c r="B22" s="100" t="s">
        <v>99</v>
      </c>
      <c r="C22" s="100" t="s">
        <v>40</v>
      </c>
      <c r="D22" s="100" t="s">
        <v>391</v>
      </c>
      <c r="E22" s="100" t="s">
        <v>391</v>
      </c>
      <c r="F22" s="100" t="s">
        <v>40</v>
      </c>
      <c r="G22" s="100" t="s">
        <v>40</v>
      </c>
      <c r="H22" s="202"/>
      <c r="I22" s="100" t="s">
        <v>40</v>
      </c>
      <c r="J22" s="100" t="s">
        <v>99</v>
      </c>
      <c r="K22" s="100" t="s">
        <v>99</v>
      </c>
      <c r="L22" s="100" t="s">
        <v>99</v>
      </c>
      <c r="M22" s="100" t="s">
        <v>99</v>
      </c>
      <c r="N22" s="100" t="s">
        <v>99</v>
      </c>
      <c r="O22" s="101"/>
      <c r="P22" s="100" t="s">
        <v>99</v>
      </c>
      <c r="Q22" s="100" t="s">
        <v>99</v>
      </c>
      <c r="R22" s="100" t="s">
        <v>99</v>
      </c>
      <c r="S22" s="100" t="s">
        <v>99</v>
      </c>
      <c r="T22" s="100" t="s">
        <v>99</v>
      </c>
      <c r="U22" s="100" t="s">
        <v>99</v>
      </c>
      <c r="V22" s="101"/>
      <c r="W22" s="100" t="s">
        <v>99</v>
      </c>
      <c r="X22" s="100" t="s">
        <v>99</v>
      </c>
      <c r="Y22" s="100" t="s">
        <v>99</v>
      </c>
      <c r="Z22" s="100" t="s">
        <v>99</v>
      </c>
      <c r="AA22" s="100" t="s">
        <v>99</v>
      </c>
      <c r="AB22" s="100" t="s">
        <v>99</v>
      </c>
      <c r="AC22" s="101"/>
      <c r="AD22" s="100" t="s">
        <v>99</v>
      </c>
      <c r="AE22" s="100" t="s">
        <v>99</v>
      </c>
      <c r="AF22" s="7">
        <v>26</v>
      </c>
      <c r="AG22" s="7">
        <f t="shared" si="0"/>
        <v>20</v>
      </c>
      <c r="AH22" s="7">
        <f t="shared" si="1"/>
        <v>4</v>
      </c>
      <c r="AI22" s="7">
        <f t="shared" si="2"/>
        <v>2</v>
      </c>
      <c r="AJ22" s="7" t="str">
        <f t="shared" si="3"/>
        <v>Plz Contact</v>
      </c>
      <c r="AK22" s="137">
        <f t="shared" si="4"/>
        <v>76.92307692307692</v>
      </c>
      <c r="AL22" s="41" t="str">
        <f t="shared" si="5"/>
        <v>Eligible</v>
      </c>
    </row>
    <row r="23" spans="1:38" x14ac:dyDescent="0.25">
      <c r="A23" s="7" t="s">
        <v>12</v>
      </c>
      <c r="B23" s="100" t="s">
        <v>99</v>
      </c>
      <c r="C23" s="100" t="s">
        <v>99</v>
      </c>
      <c r="D23" s="100" t="s">
        <v>99</v>
      </c>
      <c r="E23" s="100" t="s">
        <v>40</v>
      </c>
      <c r="F23" s="100" t="s">
        <v>40</v>
      </c>
      <c r="G23" s="100" t="s">
        <v>40</v>
      </c>
      <c r="H23" s="202"/>
      <c r="I23" s="100" t="s">
        <v>99</v>
      </c>
      <c r="J23" s="100" t="s">
        <v>40</v>
      </c>
      <c r="K23" s="100" t="s">
        <v>40</v>
      </c>
      <c r="L23" s="100" t="s">
        <v>40</v>
      </c>
      <c r="M23" s="100" t="s">
        <v>99</v>
      </c>
      <c r="N23" s="100" t="s">
        <v>99</v>
      </c>
      <c r="O23" s="101"/>
      <c r="P23" s="100" t="s">
        <v>40</v>
      </c>
      <c r="Q23" s="100" t="s">
        <v>40</v>
      </c>
      <c r="R23" s="100" t="s">
        <v>40</v>
      </c>
      <c r="S23" s="100" t="s">
        <v>99</v>
      </c>
      <c r="T23" s="100" t="s">
        <v>99</v>
      </c>
      <c r="U23" s="100" t="s">
        <v>99</v>
      </c>
      <c r="V23" s="101"/>
      <c r="W23" s="100" t="s">
        <v>99</v>
      </c>
      <c r="X23" s="100" t="s">
        <v>99</v>
      </c>
      <c r="Y23" s="100" t="s">
        <v>99</v>
      </c>
      <c r="Z23" s="100" t="s">
        <v>99</v>
      </c>
      <c r="AA23" s="100" t="s">
        <v>99</v>
      </c>
      <c r="AB23" s="100" t="s">
        <v>99</v>
      </c>
      <c r="AC23" s="101"/>
      <c r="AD23" s="100" t="s">
        <v>99</v>
      </c>
      <c r="AE23" s="100" t="s">
        <v>99</v>
      </c>
      <c r="AF23" s="7">
        <v>26</v>
      </c>
      <c r="AG23" s="7">
        <f t="shared" si="0"/>
        <v>17</v>
      </c>
      <c r="AH23" s="7">
        <f t="shared" si="1"/>
        <v>9</v>
      </c>
      <c r="AI23" s="7">
        <f t="shared" si="2"/>
        <v>0</v>
      </c>
      <c r="AJ23" s="7" t="str">
        <f t="shared" si="3"/>
        <v>Struck off</v>
      </c>
      <c r="AK23" s="137">
        <f t="shared" si="4"/>
        <v>65.384615384615387</v>
      </c>
      <c r="AL23" s="41" t="str">
        <f t="shared" si="5"/>
        <v>Not Eligible</v>
      </c>
    </row>
    <row r="24" spans="1:38" x14ac:dyDescent="0.25">
      <c r="A24" s="7" t="s">
        <v>16</v>
      </c>
      <c r="B24" s="100" t="s">
        <v>99</v>
      </c>
      <c r="C24" s="100" t="s">
        <v>99</v>
      </c>
      <c r="D24" s="100" t="s">
        <v>99</v>
      </c>
      <c r="E24" s="100" t="s">
        <v>99</v>
      </c>
      <c r="F24" s="100" t="s">
        <v>99</v>
      </c>
      <c r="G24" s="100" t="s">
        <v>99</v>
      </c>
      <c r="H24" s="202"/>
      <c r="I24" s="100" t="s">
        <v>99</v>
      </c>
      <c r="J24" s="100" t="s">
        <v>99</v>
      </c>
      <c r="K24" s="100" t="s">
        <v>99</v>
      </c>
      <c r="L24" s="100" t="s">
        <v>99</v>
      </c>
      <c r="M24" s="100" t="s">
        <v>99</v>
      </c>
      <c r="N24" s="100" t="s">
        <v>99</v>
      </c>
      <c r="O24" s="101"/>
      <c r="P24" s="100" t="s">
        <v>99</v>
      </c>
      <c r="Q24" s="100" t="s">
        <v>99</v>
      </c>
      <c r="R24" s="100" t="s">
        <v>99</v>
      </c>
      <c r="S24" s="100" t="s">
        <v>99</v>
      </c>
      <c r="T24" s="100" t="s">
        <v>99</v>
      </c>
      <c r="U24" s="100" t="s">
        <v>99</v>
      </c>
      <c r="V24" s="101"/>
      <c r="W24" s="100" t="s">
        <v>99</v>
      </c>
      <c r="X24" s="100" t="s">
        <v>99</v>
      </c>
      <c r="Y24" s="100" t="s">
        <v>99</v>
      </c>
      <c r="Z24" s="100" t="s">
        <v>99</v>
      </c>
      <c r="AA24" s="100" t="s">
        <v>99</v>
      </c>
      <c r="AB24" s="100" t="s">
        <v>99</v>
      </c>
      <c r="AC24" s="101"/>
      <c r="AD24" s="100" t="s">
        <v>99</v>
      </c>
      <c r="AE24" s="100" t="s">
        <v>99</v>
      </c>
      <c r="AF24" s="7">
        <v>26</v>
      </c>
      <c r="AG24" s="7">
        <f t="shared" si="0"/>
        <v>26</v>
      </c>
      <c r="AH24" s="7">
        <f t="shared" si="1"/>
        <v>0</v>
      </c>
      <c r="AI24" s="7">
        <f t="shared" si="2"/>
        <v>0</v>
      </c>
      <c r="AJ24" s="7" t="str">
        <f t="shared" si="3"/>
        <v>Excellent!</v>
      </c>
      <c r="AK24" s="137">
        <f t="shared" si="4"/>
        <v>100</v>
      </c>
      <c r="AL24" s="41" t="str">
        <f t="shared" si="5"/>
        <v>Eligible</v>
      </c>
    </row>
    <row r="25" spans="1:38" x14ac:dyDescent="0.25">
      <c r="A25" s="7" t="s">
        <v>15</v>
      </c>
      <c r="B25" s="100" t="s">
        <v>99</v>
      </c>
      <c r="C25" s="100" t="s">
        <v>99</v>
      </c>
      <c r="D25" s="100" t="s">
        <v>99</v>
      </c>
      <c r="E25" s="100" t="s">
        <v>99</v>
      </c>
      <c r="F25" s="100" t="s">
        <v>99</v>
      </c>
      <c r="G25" s="100" t="s">
        <v>99</v>
      </c>
      <c r="H25" s="202"/>
      <c r="I25" s="100" t="s">
        <v>40</v>
      </c>
      <c r="J25" s="100" t="s">
        <v>40</v>
      </c>
      <c r="K25" s="100" t="s">
        <v>40</v>
      </c>
      <c r="L25" s="100" t="s">
        <v>40</v>
      </c>
      <c r="M25" s="100" t="s">
        <v>40</v>
      </c>
      <c r="N25" s="100" t="s">
        <v>99</v>
      </c>
      <c r="O25" s="101"/>
      <c r="P25" s="100" t="s">
        <v>40</v>
      </c>
      <c r="Q25" s="100" t="s">
        <v>40</v>
      </c>
      <c r="R25" s="100" t="s">
        <v>40</v>
      </c>
      <c r="S25" s="100" t="s">
        <v>99</v>
      </c>
      <c r="T25" s="100" t="s">
        <v>99</v>
      </c>
      <c r="U25" s="100" t="s">
        <v>99</v>
      </c>
      <c r="V25" s="101"/>
      <c r="W25" s="100" t="s">
        <v>99</v>
      </c>
      <c r="X25" s="100" t="s">
        <v>99</v>
      </c>
      <c r="Y25" s="100" t="s">
        <v>99</v>
      </c>
      <c r="Z25" s="100" t="s">
        <v>99</v>
      </c>
      <c r="AA25" s="100" t="s">
        <v>99</v>
      </c>
      <c r="AB25" s="100" t="s">
        <v>99</v>
      </c>
      <c r="AC25" s="101"/>
      <c r="AD25" s="100" t="s">
        <v>99</v>
      </c>
      <c r="AE25" s="100" t="s">
        <v>99</v>
      </c>
      <c r="AF25" s="7">
        <v>26</v>
      </c>
      <c r="AG25" s="7">
        <f t="shared" si="0"/>
        <v>18</v>
      </c>
      <c r="AH25" s="7">
        <f t="shared" si="1"/>
        <v>8</v>
      </c>
      <c r="AI25" s="7">
        <f t="shared" si="2"/>
        <v>0</v>
      </c>
      <c r="AJ25" s="7" t="str">
        <f t="shared" si="3"/>
        <v>Struck off</v>
      </c>
      <c r="AK25" s="137">
        <f t="shared" si="4"/>
        <v>69.230769230769226</v>
      </c>
      <c r="AL25" s="41" t="str">
        <f t="shared" si="5"/>
        <v>Not Eligible</v>
      </c>
    </row>
    <row r="26" spans="1:38" x14ac:dyDescent="0.25">
      <c r="A26" s="7" t="s">
        <v>67</v>
      </c>
      <c r="B26" s="100" t="s">
        <v>99</v>
      </c>
      <c r="C26" s="100" t="s">
        <v>99</v>
      </c>
      <c r="D26" s="100" t="s">
        <v>99</v>
      </c>
      <c r="E26" s="100" t="s">
        <v>99</v>
      </c>
      <c r="F26" s="100" t="s">
        <v>391</v>
      </c>
      <c r="G26" s="100" t="s">
        <v>391</v>
      </c>
      <c r="H26" s="202"/>
      <c r="I26" s="100" t="s">
        <v>99</v>
      </c>
      <c r="J26" s="100" t="s">
        <v>99</v>
      </c>
      <c r="K26" s="100" t="s">
        <v>99</v>
      </c>
      <c r="L26" s="100" t="s">
        <v>99</v>
      </c>
      <c r="M26" s="100" t="s">
        <v>99</v>
      </c>
      <c r="N26" s="100" t="s">
        <v>99</v>
      </c>
      <c r="O26" s="101"/>
      <c r="P26" s="100" t="s">
        <v>99</v>
      </c>
      <c r="Q26" s="100" t="s">
        <v>99</v>
      </c>
      <c r="R26" s="100" t="s">
        <v>99</v>
      </c>
      <c r="S26" s="100" t="s">
        <v>99</v>
      </c>
      <c r="T26" s="100" t="s">
        <v>99</v>
      </c>
      <c r="U26" s="100" t="s">
        <v>99</v>
      </c>
      <c r="V26" s="101"/>
      <c r="W26" s="100" t="s">
        <v>99</v>
      </c>
      <c r="X26" s="100" t="s">
        <v>99</v>
      </c>
      <c r="Y26" s="100" t="s">
        <v>99</v>
      </c>
      <c r="Z26" s="100" t="s">
        <v>99</v>
      </c>
      <c r="AA26" s="100" t="s">
        <v>99</v>
      </c>
      <c r="AB26" s="100" t="s">
        <v>99</v>
      </c>
      <c r="AC26" s="101"/>
      <c r="AD26" s="100" t="s">
        <v>99</v>
      </c>
      <c r="AE26" s="100" t="s">
        <v>99</v>
      </c>
      <c r="AF26" s="7">
        <v>26</v>
      </c>
      <c r="AG26" s="7">
        <f t="shared" si="0"/>
        <v>24</v>
      </c>
      <c r="AH26" s="7">
        <f t="shared" si="1"/>
        <v>0</v>
      </c>
      <c r="AI26" s="7">
        <f t="shared" si="2"/>
        <v>2</v>
      </c>
      <c r="AJ26" s="7" t="str">
        <f t="shared" si="3"/>
        <v>Excellent!</v>
      </c>
      <c r="AK26" s="137">
        <f t="shared" si="4"/>
        <v>92.307692307692307</v>
      </c>
      <c r="AL26" s="41" t="str">
        <f t="shared" si="5"/>
        <v>Eligible</v>
      </c>
    </row>
    <row r="27" spans="1:38" x14ac:dyDescent="0.25">
      <c r="A27" s="7" t="s">
        <v>20</v>
      </c>
      <c r="B27" s="100" t="s">
        <v>99</v>
      </c>
      <c r="C27" s="100" t="s">
        <v>99</v>
      </c>
      <c r="D27" s="100" t="s">
        <v>99</v>
      </c>
      <c r="E27" s="100" t="s">
        <v>99</v>
      </c>
      <c r="F27" s="100" t="s">
        <v>99</v>
      </c>
      <c r="G27" s="100" t="s">
        <v>99</v>
      </c>
      <c r="H27" s="202"/>
      <c r="I27" s="100" t="s">
        <v>40</v>
      </c>
      <c r="J27" s="100" t="s">
        <v>99</v>
      </c>
      <c r="K27" s="100" t="s">
        <v>99</v>
      </c>
      <c r="L27" s="100" t="s">
        <v>99</v>
      </c>
      <c r="M27" s="100" t="s">
        <v>99</v>
      </c>
      <c r="N27" s="100" t="s">
        <v>99</v>
      </c>
      <c r="O27" s="101"/>
      <c r="P27" s="100" t="s">
        <v>99</v>
      </c>
      <c r="Q27" s="100" t="s">
        <v>99</v>
      </c>
      <c r="R27" s="100" t="s">
        <v>99</v>
      </c>
      <c r="S27" s="100" t="s">
        <v>99</v>
      </c>
      <c r="T27" s="100" t="s">
        <v>99</v>
      </c>
      <c r="U27" s="100" t="s">
        <v>99</v>
      </c>
      <c r="V27" s="101"/>
      <c r="W27" s="100" t="s">
        <v>99</v>
      </c>
      <c r="X27" s="100" t="s">
        <v>99</v>
      </c>
      <c r="Y27" s="100" t="s">
        <v>99</v>
      </c>
      <c r="Z27" s="100" t="s">
        <v>99</v>
      </c>
      <c r="AA27" s="100" t="s">
        <v>99</v>
      </c>
      <c r="AB27" s="100" t="s">
        <v>99</v>
      </c>
      <c r="AC27" s="101"/>
      <c r="AD27" s="100" t="s">
        <v>99</v>
      </c>
      <c r="AE27" s="100" t="s">
        <v>99</v>
      </c>
      <c r="AF27" s="7">
        <v>26</v>
      </c>
      <c r="AG27" s="7">
        <f t="shared" si="0"/>
        <v>25</v>
      </c>
      <c r="AH27" s="7">
        <f t="shared" si="1"/>
        <v>1</v>
      </c>
      <c r="AI27" s="7">
        <f t="shared" si="2"/>
        <v>0</v>
      </c>
      <c r="AJ27" s="7" t="str">
        <f t="shared" si="3"/>
        <v>Good</v>
      </c>
      <c r="AK27" s="137">
        <f t="shared" si="4"/>
        <v>96.15384615384616</v>
      </c>
      <c r="AL27" s="41" t="str">
        <f t="shared" si="5"/>
        <v>Eligible</v>
      </c>
    </row>
    <row r="28" spans="1:38" x14ac:dyDescent="0.25">
      <c r="A28" s="7" t="s">
        <v>97</v>
      </c>
      <c r="B28" s="100" t="s">
        <v>99</v>
      </c>
      <c r="C28" s="100" t="s">
        <v>40</v>
      </c>
      <c r="D28" s="100" t="s">
        <v>40</v>
      </c>
      <c r="E28" s="100" t="s">
        <v>99</v>
      </c>
      <c r="F28" s="100" t="s">
        <v>99</v>
      </c>
      <c r="G28" s="100" t="s">
        <v>99</v>
      </c>
      <c r="H28" s="202"/>
      <c r="I28" s="100" t="s">
        <v>99</v>
      </c>
      <c r="J28" s="100" t="s">
        <v>99</v>
      </c>
      <c r="K28" s="100" t="s">
        <v>99</v>
      </c>
      <c r="L28" s="100" t="s">
        <v>99</v>
      </c>
      <c r="M28" s="100" t="s">
        <v>99</v>
      </c>
      <c r="N28" s="100" t="s">
        <v>99</v>
      </c>
      <c r="O28" s="101"/>
      <c r="P28" s="100" t="s">
        <v>99</v>
      </c>
      <c r="Q28" s="100" t="s">
        <v>99</v>
      </c>
      <c r="R28" s="100" t="s">
        <v>99</v>
      </c>
      <c r="S28" s="100" t="s">
        <v>99</v>
      </c>
      <c r="T28" s="100" t="s">
        <v>99</v>
      </c>
      <c r="U28" s="100" t="s">
        <v>99</v>
      </c>
      <c r="V28" s="101"/>
      <c r="W28" s="100" t="s">
        <v>99</v>
      </c>
      <c r="X28" s="100" t="s">
        <v>99</v>
      </c>
      <c r="Y28" s="100" t="s">
        <v>99</v>
      </c>
      <c r="Z28" s="100" t="s">
        <v>99</v>
      </c>
      <c r="AA28" s="100" t="s">
        <v>99</v>
      </c>
      <c r="AB28" s="100" t="s">
        <v>99</v>
      </c>
      <c r="AC28" s="101"/>
      <c r="AD28" s="100" t="s">
        <v>99</v>
      </c>
      <c r="AE28" s="100" t="s">
        <v>99</v>
      </c>
      <c r="AF28" s="7">
        <v>26</v>
      </c>
      <c r="AG28" s="7">
        <f t="shared" si="0"/>
        <v>24</v>
      </c>
      <c r="AH28" s="7">
        <f t="shared" si="1"/>
        <v>2</v>
      </c>
      <c r="AI28" s="7">
        <f t="shared" si="2"/>
        <v>0</v>
      </c>
      <c r="AJ28" s="7" t="str">
        <f t="shared" si="3"/>
        <v>Fair</v>
      </c>
      <c r="AK28" s="137">
        <f t="shared" si="4"/>
        <v>92.307692307692307</v>
      </c>
      <c r="AL28" s="41" t="str">
        <f t="shared" si="5"/>
        <v>Eligible</v>
      </c>
    </row>
    <row r="29" spans="1:38" x14ac:dyDescent="0.25">
      <c r="A29" s="7" t="s">
        <v>98</v>
      </c>
      <c r="B29" s="100" t="s">
        <v>99</v>
      </c>
      <c r="C29" s="100" t="s">
        <v>99</v>
      </c>
      <c r="D29" s="100" t="s">
        <v>40</v>
      </c>
      <c r="E29" s="100" t="s">
        <v>40</v>
      </c>
      <c r="F29" s="100" t="s">
        <v>100</v>
      </c>
      <c r="G29" s="100" t="s">
        <v>99</v>
      </c>
      <c r="H29" s="202"/>
      <c r="I29" s="100" t="s">
        <v>99</v>
      </c>
      <c r="J29" s="100" t="s">
        <v>99</v>
      </c>
      <c r="K29" s="100" t="s">
        <v>99</v>
      </c>
      <c r="L29" s="100" t="s">
        <v>99</v>
      </c>
      <c r="M29" s="100" t="s">
        <v>99</v>
      </c>
      <c r="N29" s="100" t="s">
        <v>99</v>
      </c>
      <c r="O29" s="101"/>
      <c r="P29" s="100" t="s">
        <v>99</v>
      </c>
      <c r="Q29" s="100" t="s">
        <v>99</v>
      </c>
      <c r="R29" s="100" t="s">
        <v>99</v>
      </c>
      <c r="S29" s="100" t="s">
        <v>99</v>
      </c>
      <c r="T29" s="100" t="s">
        <v>99</v>
      </c>
      <c r="U29" s="100" t="s">
        <v>99</v>
      </c>
      <c r="V29" s="101"/>
      <c r="W29" s="100" t="s">
        <v>99</v>
      </c>
      <c r="X29" s="100" t="s">
        <v>99</v>
      </c>
      <c r="Y29" s="100" t="s">
        <v>99</v>
      </c>
      <c r="Z29" s="100" t="s">
        <v>99</v>
      </c>
      <c r="AA29" s="100" t="s">
        <v>99</v>
      </c>
      <c r="AB29" s="100" t="s">
        <v>99</v>
      </c>
      <c r="AC29" s="101"/>
      <c r="AD29" s="100" t="s">
        <v>99</v>
      </c>
      <c r="AE29" s="100" t="s">
        <v>99</v>
      </c>
      <c r="AF29" s="7">
        <v>26</v>
      </c>
      <c r="AG29" s="7">
        <f t="shared" si="0"/>
        <v>23</v>
      </c>
      <c r="AH29" s="7">
        <f t="shared" si="1"/>
        <v>3</v>
      </c>
      <c r="AI29" s="7">
        <f t="shared" si="2"/>
        <v>0</v>
      </c>
      <c r="AJ29" s="7" t="str">
        <f t="shared" si="3"/>
        <v>Be Punctual</v>
      </c>
      <c r="AK29" s="137">
        <f t="shared" si="4"/>
        <v>88.461538461538467</v>
      </c>
      <c r="AL29" s="41" t="str">
        <f t="shared" si="5"/>
        <v>Eligible</v>
      </c>
    </row>
    <row r="30" spans="1:38" x14ac:dyDescent="0.25">
      <c r="A30" s="7" t="s">
        <v>11</v>
      </c>
      <c r="B30" s="100" t="s">
        <v>99</v>
      </c>
      <c r="C30" s="100" t="s">
        <v>40</v>
      </c>
      <c r="D30" s="100" t="s">
        <v>391</v>
      </c>
      <c r="E30" s="100" t="s">
        <v>391</v>
      </c>
      <c r="F30" s="100" t="s">
        <v>40</v>
      </c>
      <c r="G30" s="100" t="s">
        <v>40</v>
      </c>
      <c r="H30" s="202"/>
      <c r="I30" s="100" t="s">
        <v>40</v>
      </c>
      <c r="J30" s="100" t="s">
        <v>99</v>
      </c>
      <c r="K30" s="100" t="s">
        <v>99</v>
      </c>
      <c r="L30" s="100" t="s">
        <v>99</v>
      </c>
      <c r="M30" s="100" t="s">
        <v>99</v>
      </c>
      <c r="N30" s="100" t="s">
        <v>99</v>
      </c>
      <c r="O30" s="101"/>
      <c r="P30" s="100" t="s">
        <v>99</v>
      </c>
      <c r="Q30" s="100" t="s">
        <v>99</v>
      </c>
      <c r="R30" s="100" t="s">
        <v>99</v>
      </c>
      <c r="S30" s="100" t="s">
        <v>99</v>
      </c>
      <c r="T30" s="100" t="s">
        <v>99</v>
      </c>
      <c r="U30" s="100" t="s">
        <v>99</v>
      </c>
      <c r="V30" s="101"/>
      <c r="W30" s="100" t="s">
        <v>99</v>
      </c>
      <c r="X30" s="100" t="s">
        <v>99</v>
      </c>
      <c r="Y30" s="100" t="s">
        <v>99</v>
      </c>
      <c r="Z30" s="100" t="s">
        <v>99</v>
      </c>
      <c r="AA30" s="100" t="s">
        <v>99</v>
      </c>
      <c r="AB30" s="100" t="s">
        <v>99</v>
      </c>
      <c r="AC30" s="101"/>
      <c r="AD30" s="100" t="s">
        <v>99</v>
      </c>
      <c r="AE30" s="100" t="s">
        <v>99</v>
      </c>
      <c r="AF30" s="7">
        <v>26</v>
      </c>
      <c r="AG30" s="7">
        <f t="shared" si="0"/>
        <v>20</v>
      </c>
      <c r="AH30" s="7">
        <f t="shared" si="1"/>
        <v>4</v>
      </c>
      <c r="AI30" s="7">
        <f t="shared" si="2"/>
        <v>2</v>
      </c>
      <c r="AJ30" s="7" t="str">
        <f t="shared" si="3"/>
        <v>Plz Contact</v>
      </c>
      <c r="AK30" s="137">
        <f t="shared" si="4"/>
        <v>76.92307692307692</v>
      </c>
      <c r="AL30" s="41" t="str">
        <f t="shared" si="5"/>
        <v>Eligible</v>
      </c>
    </row>
    <row r="31" spans="1:38" x14ac:dyDescent="0.25">
      <c r="A31" s="7" t="s">
        <v>12</v>
      </c>
      <c r="B31" s="100" t="s">
        <v>99</v>
      </c>
      <c r="C31" s="100" t="s">
        <v>99</v>
      </c>
      <c r="D31" s="100" t="s">
        <v>99</v>
      </c>
      <c r="E31" s="100" t="s">
        <v>40</v>
      </c>
      <c r="F31" s="100" t="s">
        <v>40</v>
      </c>
      <c r="G31" s="100" t="s">
        <v>40</v>
      </c>
      <c r="H31" s="202"/>
      <c r="I31" s="100" t="s">
        <v>99</v>
      </c>
      <c r="J31" s="100" t="s">
        <v>40</v>
      </c>
      <c r="K31" s="100" t="s">
        <v>40</v>
      </c>
      <c r="L31" s="100" t="s">
        <v>40</v>
      </c>
      <c r="M31" s="100" t="s">
        <v>99</v>
      </c>
      <c r="N31" s="100" t="s">
        <v>99</v>
      </c>
      <c r="O31" s="101"/>
      <c r="P31" s="100" t="s">
        <v>40</v>
      </c>
      <c r="Q31" s="100" t="s">
        <v>40</v>
      </c>
      <c r="R31" s="100" t="s">
        <v>40</v>
      </c>
      <c r="S31" s="100" t="s">
        <v>99</v>
      </c>
      <c r="T31" s="100" t="s">
        <v>99</v>
      </c>
      <c r="U31" s="100" t="s">
        <v>99</v>
      </c>
      <c r="V31" s="101"/>
      <c r="W31" s="100" t="s">
        <v>99</v>
      </c>
      <c r="X31" s="100" t="s">
        <v>99</v>
      </c>
      <c r="Y31" s="100" t="s">
        <v>99</v>
      </c>
      <c r="Z31" s="100" t="s">
        <v>99</v>
      </c>
      <c r="AA31" s="100" t="s">
        <v>99</v>
      </c>
      <c r="AB31" s="100" t="s">
        <v>99</v>
      </c>
      <c r="AC31" s="101"/>
      <c r="AD31" s="100" t="s">
        <v>99</v>
      </c>
      <c r="AE31" s="100" t="s">
        <v>99</v>
      </c>
      <c r="AF31" s="7">
        <v>26</v>
      </c>
      <c r="AG31" s="7">
        <f t="shared" si="0"/>
        <v>17</v>
      </c>
      <c r="AH31" s="7">
        <f t="shared" si="1"/>
        <v>9</v>
      </c>
      <c r="AI31" s="7">
        <f t="shared" si="2"/>
        <v>0</v>
      </c>
      <c r="AJ31" s="7" t="str">
        <f t="shared" si="3"/>
        <v>Struck off</v>
      </c>
      <c r="AK31" s="137">
        <f t="shared" si="4"/>
        <v>65.384615384615387</v>
      </c>
      <c r="AL31" s="41" t="str">
        <f t="shared" si="5"/>
        <v>Not Eligible</v>
      </c>
    </row>
    <row r="32" spans="1:38" x14ac:dyDescent="0.25">
      <c r="A32" s="7" t="s">
        <v>16</v>
      </c>
      <c r="B32" s="100" t="s">
        <v>99</v>
      </c>
      <c r="C32" s="100" t="s">
        <v>99</v>
      </c>
      <c r="D32" s="100" t="s">
        <v>99</v>
      </c>
      <c r="E32" s="100" t="s">
        <v>99</v>
      </c>
      <c r="F32" s="100" t="s">
        <v>99</v>
      </c>
      <c r="G32" s="100" t="s">
        <v>99</v>
      </c>
      <c r="H32" s="202"/>
      <c r="I32" s="100" t="s">
        <v>99</v>
      </c>
      <c r="J32" s="100" t="s">
        <v>99</v>
      </c>
      <c r="K32" s="100" t="s">
        <v>99</v>
      </c>
      <c r="L32" s="100" t="s">
        <v>99</v>
      </c>
      <c r="M32" s="100" t="s">
        <v>99</v>
      </c>
      <c r="N32" s="100" t="s">
        <v>99</v>
      </c>
      <c r="O32" s="101"/>
      <c r="P32" s="100" t="s">
        <v>99</v>
      </c>
      <c r="Q32" s="100" t="s">
        <v>99</v>
      </c>
      <c r="R32" s="100" t="s">
        <v>99</v>
      </c>
      <c r="S32" s="100" t="s">
        <v>99</v>
      </c>
      <c r="T32" s="100" t="s">
        <v>99</v>
      </c>
      <c r="U32" s="100" t="s">
        <v>99</v>
      </c>
      <c r="V32" s="101"/>
      <c r="W32" s="100" t="s">
        <v>99</v>
      </c>
      <c r="X32" s="100" t="s">
        <v>99</v>
      </c>
      <c r="Y32" s="100" t="s">
        <v>99</v>
      </c>
      <c r="Z32" s="100" t="s">
        <v>99</v>
      </c>
      <c r="AA32" s="100" t="s">
        <v>99</v>
      </c>
      <c r="AB32" s="100" t="s">
        <v>99</v>
      </c>
      <c r="AC32" s="101"/>
      <c r="AD32" s="100" t="s">
        <v>99</v>
      </c>
      <c r="AE32" s="100" t="s">
        <v>99</v>
      </c>
      <c r="AF32" s="7">
        <v>26</v>
      </c>
      <c r="AG32" s="7">
        <f t="shared" si="0"/>
        <v>26</v>
      </c>
      <c r="AH32" s="7">
        <f t="shared" si="1"/>
        <v>0</v>
      </c>
      <c r="AI32" s="7">
        <f t="shared" si="2"/>
        <v>0</v>
      </c>
      <c r="AJ32" s="7" t="str">
        <f t="shared" si="3"/>
        <v>Excellent!</v>
      </c>
      <c r="AK32" s="137">
        <f t="shared" si="4"/>
        <v>100</v>
      </c>
      <c r="AL32" s="41" t="str">
        <f t="shared" si="5"/>
        <v>Eligible</v>
      </c>
    </row>
    <row r="33" spans="1:38" x14ac:dyDescent="0.25">
      <c r="A33" s="7" t="s">
        <v>15</v>
      </c>
      <c r="B33" s="100" t="s">
        <v>99</v>
      </c>
      <c r="C33" s="100" t="s">
        <v>99</v>
      </c>
      <c r="D33" s="100" t="s">
        <v>99</v>
      </c>
      <c r="E33" s="100" t="s">
        <v>99</v>
      </c>
      <c r="F33" s="100" t="s">
        <v>99</v>
      </c>
      <c r="G33" s="100" t="s">
        <v>99</v>
      </c>
      <c r="H33" s="202"/>
      <c r="I33" s="100" t="s">
        <v>40</v>
      </c>
      <c r="J33" s="100" t="s">
        <v>40</v>
      </c>
      <c r="K33" s="100" t="s">
        <v>40</v>
      </c>
      <c r="L33" s="100" t="s">
        <v>40</v>
      </c>
      <c r="M33" s="100" t="s">
        <v>40</v>
      </c>
      <c r="N33" s="100" t="s">
        <v>99</v>
      </c>
      <c r="O33" s="101"/>
      <c r="P33" s="100" t="s">
        <v>40</v>
      </c>
      <c r="Q33" s="100" t="s">
        <v>40</v>
      </c>
      <c r="R33" s="100" t="s">
        <v>40</v>
      </c>
      <c r="S33" s="100" t="s">
        <v>99</v>
      </c>
      <c r="T33" s="100" t="s">
        <v>99</v>
      </c>
      <c r="U33" s="100" t="s">
        <v>99</v>
      </c>
      <c r="V33" s="101"/>
      <c r="W33" s="100" t="s">
        <v>99</v>
      </c>
      <c r="X33" s="100" t="s">
        <v>99</v>
      </c>
      <c r="Y33" s="100" t="s">
        <v>99</v>
      </c>
      <c r="Z33" s="100" t="s">
        <v>99</v>
      </c>
      <c r="AA33" s="100" t="s">
        <v>99</v>
      </c>
      <c r="AB33" s="100" t="s">
        <v>99</v>
      </c>
      <c r="AC33" s="101"/>
      <c r="AD33" s="100" t="s">
        <v>99</v>
      </c>
      <c r="AE33" s="100" t="s">
        <v>99</v>
      </c>
      <c r="AF33" s="7">
        <v>26</v>
      </c>
      <c r="AG33" s="7">
        <f t="shared" si="0"/>
        <v>18</v>
      </c>
      <c r="AH33" s="7">
        <f t="shared" si="1"/>
        <v>8</v>
      </c>
      <c r="AI33" s="7">
        <f t="shared" si="2"/>
        <v>0</v>
      </c>
      <c r="AJ33" s="7" t="str">
        <f t="shared" si="3"/>
        <v>Struck off</v>
      </c>
      <c r="AK33" s="137">
        <f t="shared" si="4"/>
        <v>69.230769230769226</v>
      </c>
      <c r="AL33" s="41" t="str">
        <f t="shared" si="5"/>
        <v>Not Eligible</v>
      </c>
    </row>
    <row r="34" spans="1:38" x14ac:dyDescent="0.25">
      <c r="A34" s="7" t="s">
        <v>67</v>
      </c>
      <c r="B34" s="100" t="s">
        <v>99</v>
      </c>
      <c r="C34" s="100" t="s">
        <v>99</v>
      </c>
      <c r="D34" s="100" t="s">
        <v>99</v>
      </c>
      <c r="E34" s="100" t="s">
        <v>99</v>
      </c>
      <c r="F34" s="100" t="s">
        <v>391</v>
      </c>
      <c r="G34" s="100" t="s">
        <v>391</v>
      </c>
      <c r="H34" s="202"/>
      <c r="I34" s="100" t="s">
        <v>99</v>
      </c>
      <c r="J34" s="100" t="s">
        <v>99</v>
      </c>
      <c r="K34" s="100" t="s">
        <v>99</v>
      </c>
      <c r="L34" s="100" t="s">
        <v>99</v>
      </c>
      <c r="M34" s="100" t="s">
        <v>99</v>
      </c>
      <c r="N34" s="100" t="s">
        <v>99</v>
      </c>
      <c r="O34" s="101"/>
      <c r="P34" s="100" t="s">
        <v>99</v>
      </c>
      <c r="Q34" s="100" t="s">
        <v>99</v>
      </c>
      <c r="R34" s="100" t="s">
        <v>99</v>
      </c>
      <c r="S34" s="100" t="s">
        <v>99</v>
      </c>
      <c r="T34" s="100" t="s">
        <v>99</v>
      </c>
      <c r="U34" s="100" t="s">
        <v>99</v>
      </c>
      <c r="V34" s="101"/>
      <c r="W34" s="100" t="s">
        <v>99</v>
      </c>
      <c r="X34" s="100" t="s">
        <v>99</v>
      </c>
      <c r="Y34" s="100" t="s">
        <v>99</v>
      </c>
      <c r="Z34" s="100" t="s">
        <v>99</v>
      </c>
      <c r="AA34" s="100" t="s">
        <v>99</v>
      </c>
      <c r="AB34" s="100" t="s">
        <v>99</v>
      </c>
      <c r="AC34" s="101"/>
      <c r="AD34" s="100" t="s">
        <v>99</v>
      </c>
      <c r="AE34" s="100" t="s">
        <v>99</v>
      </c>
      <c r="AF34" s="7">
        <v>26</v>
      </c>
      <c r="AG34" s="7">
        <f t="shared" si="0"/>
        <v>24</v>
      </c>
      <c r="AH34" s="7">
        <f t="shared" si="1"/>
        <v>0</v>
      </c>
      <c r="AI34" s="7">
        <f t="shared" si="2"/>
        <v>2</v>
      </c>
      <c r="AJ34" s="7" t="str">
        <f t="shared" si="3"/>
        <v>Excellent!</v>
      </c>
      <c r="AK34" s="137">
        <f t="shared" si="4"/>
        <v>92.307692307692307</v>
      </c>
      <c r="AL34" s="41" t="str">
        <f t="shared" si="5"/>
        <v>Eligible</v>
      </c>
    </row>
    <row r="35" spans="1:38" x14ac:dyDescent="0.25">
      <c r="A35" s="7" t="s">
        <v>20</v>
      </c>
      <c r="B35" s="100" t="s">
        <v>99</v>
      </c>
      <c r="C35" s="100" t="s">
        <v>99</v>
      </c>
      <c r="D35" s="100" t="s">
        <v>99</v>
      </c>
      <c r="E35" s="100" t="s">
        <v>99</v>
      </c>
      <c r="F35" s="100" t="s">
        <v>99</v>
      </c>
      <c r="G35" s="100" t="s">
        <v>99</v>
      </c>
      <c r="H35" s="202"/>
      <c r="I35" s="100" t="s">
        <v>40</v>
      </c>
      <c r="J35" s="100" t="s">
        <v>99</v>
      </c>
      <c r="K35" s="100" t="s">
        <v>99</v>
      </c>
      <c r="L35" s="100" t="s">
        <v>99</v>
      </c>
      <c r="M35" s="100" t="s">
        <v>99</v>
      </c>
      <c r="N35" s="100" t="s">
        <v>99</v>
      </c>
      <c r="O35" s="101"/>
      <c r="P35" s="100" t="s">
        <v>99</v>
      </c>
      <c r="Q35" s="100" t="s">
        <v>99</v>
      </c>
      <c r="R35" s="100" t="s">
        <v>99</v>
      </c>
      <c r="S35" s="100" t="s">
        <v>99</v>
      </c>
      <c r="T35" s="100" t="s">
        <v>99</v>
      </c>
      <c r="U35" s="100" t="s">
        <v>99</v>
      </c>
      <c r="V35" s="101"/>
      <c r="W35" s="100" t="s">
        <v>99</v>
      </c>
      <c r="X35" s="100" t="s">
        <v>99</v>
      </c>
      <c r="Y35" s="100" t="s">
        <v>99</v>
      </c>
      <c r="Z35" s="100" t="s">
        <v>99</v>
      </c>
      <c r="AA35" s="100" t="s">
        <v>99</v>
      </c>
      <c r="AB35" s="100" t="s">
        <v>99</v>
      </c>
      <c r="AC35" s="101"/>
      <c r="AD35" s="100" t="s">
        <v>99</v>
      </c>
      <c r="AE35" s="100" t="s">
        <v>99</v>
      </c>
      <c r="AF35" s="7">
        <v>26</v>
      </c>
      <c r="AG35" s="7">
        <f t="shared" ref="AG35:AG42" si="6">COUNTIF(B35:AE35, "P")</f>
        <v>25</v>
      </c>
      <c r="AH35" s="7">
        <f t="shared" ref="AH35:AH42" si="7">COUNTIF(B35:AE35, "A")</f>
        <v>1</v>
      </c>
      <c r="AI35" s="7">
        <f t="shared" ref="AI35:AI42" si="8">COUNTIF(B35:AE35, "L")</f>
        <v>0</v>
      </c>
      <c r="AJ35" s="7" t="str">
        <f t="shared" ref="AJ35:AJ42" si="9">IF(AH35=0, "Excellent!", IF(AH35=1, "Good", IF(AH35=2, "Fair", IF(AH35=3, "Be Punctual", IF(AH35=4, "Plz Contact", "Struck off")))))</f>
        <v>Good</v>
      </c>
      <c r="AK35" s="137">
        <f t="shared" ref="AK35:AK42" si="10">AG35*100/26</f>
        <v>96.15384615384616</v>
      </c>
      <c r="AL35" s="41" t="str">
        <f t="shared" ref="AL35:AL42" si="11">IF(AND(AK35&gt;70, AK35&lt;=100),"Eligible","Not Eligible")</f>
        <v>Eligible</v>
      </c>
    </row>
    <row r="36" spans="1:38" x14ac:dyDescent="0.25">
      <c r="A36" s="7" t="s">
        <v>97</v>
      </c>
      <c r="B36" s="100" t="s">
        <v>99</v>
      </c>
      <c r="C36" s="100" t="s">
        <v>40</v>
      </c>
      <c r="D36" s="100" t="s">
        <v>40</v>
      </c>
      <c r="E36" s="100" t="s">
        <v>99</v>
      </c>
      <c r="F36" s="100" t="s">
        <v>99</v>
      </c>
      <c r="G36" s="100" t="s">
        <v>99</v>
      </c>
      <c r="H36" s="202"/>
      <c r="I36" s="100" t="s">
        <v>99</v>
      </c>
      <c r="J36" s="100" t="s">
        <v>99</v>
      </c>
      <c r="K36" s="100" t="s">
        <v>99</v>
      </c>
      <c r="L36" s="100" t="s">
        <v>99</v>
      </c>
      <c r="M36" s="100" t="s">
        <v>99</v>
      </c>
      <c r="N36" s="100" t="s">
        <v>99</v>
      </c>
      <c r="O36" s="101"/>
      <c r="P36" s="100" t="s">
        <v>99</v>
      </c>
      <c r="Q36" s="100" t="s">
        <v>99</v>
      </c>
      <c r="R36" s="100" t="s">
        <v>99</v>
      </c>
      <c r="S36" s="100" t="s">
        <v>99</v>
      </c>
      <c r="T36" s="100" t="s">
        <v>99</v>
      </c>
      <c r="U36" s="100" t="s">
        <v>99</v>
      </c>
      <c r="V36" s="101"/>
      <c r="W36" s="100" t="s">
        <v>99</v>
      </c>
      <c r="X36" s="100" t="s">
        <v>99</v>
      </c>
      <c r="Y36" s="100" t="s">
        <v>99</v>
      </c>
      <c r="Z36" s="100" t="s">
        <v>99</v>
      </c>
      <c r="AA36" s="100" t="s">
        <v>99</v>
      </c>
      <c r="AB36" s="100" t="s">
        <v>99</v>
      </c>
      <c r="AC36" s="101"/>
      <c r="AD36" s="100" t="s">
        <v>99</v>
      </c>
      <c r="AE36" s="100" t="s">
        <v>99</v>
      </c>
      <c r="AF36" s="7">
        <v>26</v>
      </c>
      <c r="AG36" s="7">
        <f t="shared" si="6"/>
        <v>24</v>
      </c>
      <c r="AH36" s="7">
        <f t="shared" si="7"/>
        <v>2</v>
      </c>
      <c r="AI36" s="7">
        <f t="shared" si="8"/>
        <v>0</v>
      </c>
      <c r="AJ36" s="7" t="str">
        <f t="shared" si="9"/>
        <v>Fair</v>
      </c>
      <c r="AK36" s="137">
        <f t="shared" si="10"/>
        <v>92.307692307692307</v>
      </c>
      <c r="AL36" s="41" t="str">
        <f t="shared" si="11"/>
        <v>Eligible</v>
      </c>
    </row>
    <row r="37" spans="1:38" x14ac:dyDescent="0.25">
      <c r="A37" s="7" t="s">
        <v>98</v>
      </c>
      <c r="B37" s="100" t="s">
        <v>99</v>
      </c>
      <c r="C37" s="100" t="s">
        <v>99</v>
      </c>
      <c r="D37" s="100" t="s">
        <v>40</v>
      </c>
      <c r="E37" s="100" t="s">
        <v>40</v>
      </c>
      <c r="F37" s="100" t="s">
        <v>100</v>
      </c>
      <c r="G37" s="100" t="s">
        <v>99</v>
      </c>
      <c r="H37" s="202"/>
      <c r="I37" s="100" t="s">
        <v>99</v>
      </c>
      <c r="J37" s="100" t="s">
        <v>99</v>
      </c>
      <c r="K37" s="100" t="s">
        <v>99</v>
      </c>
      <c r="L37" s="100" t="s">
        <v>99</v>
      </c>
      <c r="M37" s="100" t="s">
        <v>99</v>
      </c>
      <c r="N37" s="100" t="s">
        <v>99</v>
      </c>
      <c r="O37" s="101"/>
      <c r="P37" s="100" t="s">
        <v>99</v>
      </c>
      <c r="Q37" s="100" t="s">
        <v>99</v>
      </c>
      <c r="R37" s="100" t="s">
        <v>99</v>
      </c>
      <c r="S37" s="100" t="s">
        <v>99</v>
      </c>
      <c r="T37" s="100" t="s">
        <v>99</v>
      </c>
      <c r="U37" s="100" t="s">
        <v>99</v>
      </c>
      <c r="V37" s="101"/>
      <c r="W37" s="100" t="s">
        <v>99</v>
      </c>
      <c r="X37" s="100" t="s">
        <v>99</v>
      </c>
      <c r="Y37" s="100" t="s">
        <v>99</v>
      </c>
      <c r="Z37" s="100" t="s">
        <v>99</v>
      </c>
      <c r="AA37" s="100" t="s">
        <v>99</v>
      </c>
      <c r="AB37" s="100" t="s">
        <v>99</v>
      </c>
      <c r="AC37" s="101"/>
      <c r="AD37" s="100" t="s">
        <v>99</v>
      </c>
      <c r="AE37" s="100" t="s">
        <v>99</v>
      </c>
      <c r="AF37" s="7">
        <v>26</v>
      </c>
      <c r="AG37" s="7">
        <f t="shared" si="6"/>
        <v>23</v>
      </c>
      <c r="AH37" s="7">
        <f t="shared" si="7"/>
        <v>3</v>
      </c>
      <c r="AI37" s="7">
        <f t="shared" si="8"/>
        <v>0</v>
      </c>
      <c r="AJ37" s="7" t="str">
        <f t="shared" si="9"/>
        <v>Be Punctual</v>
      </c>
      <c r="AK37" s="137">
        <f t="shared" si="10"/>
        <v>88.461538461538467</v>
      </c>
      <c r="AL37" s="41" t="str">
        <f t="shared" si="11"/>
        <v>Eligible</v>
      </c>
    </row>
    <row r="38" spans="1:38" x14ac:dyDescent="0.25">
      <c r="A38" s="7" t="s">
        <v>11</v>
      </c>
      <c r="B38" s="100" t="s">
        <v>99</v>
      </c>
      <c r="C38" s="100" t="s">
        <v>40</v>
      </c>
      <c r="D38" s="100" t="s">
        <v>391</v>
      </c>
      <c r="E38" s="100" t="s">
        <v>391</v>
      </c>
      <c r="F38" s="100" t="s">
        <v>40</v>
      </c>
      <c r="G38" s="100" t="s">
        <v>40</v>
      </c>
      <c r="H38" s="202"/>
      <c r="I38" s="100" t="s">
        <v>40</v>
      </c>
      <c r="J38" s="100" t="s">
        <v>99</v>
      </c>
      <c r="K38" s="100" t="s">
        <v>99</v>
      </c>
      <c r="L38" s="100" t="s">
        <v>99</v>
      </c>
      <c r="M38" s="100" t="s">
        <v>99</v>
      </c>
      <c r="N38" s="100" t="s">
        <v>99</v>
      </c>
      <c r="O38" s="101"/>
      <c r="P38" s="100" t="s">
        <v>99</v>
      </c>
      <c r="Q38" s="100" t="s">
        <v>99</v>
      </c>
      <c r="R38" s="100" t="s">
        <v>99</v>
      </c>
      <c r="S38" s="100" t="s">
        <v>99</v>
      </c>
      <c r="T38" s="100" t="s">
        <v>99</v>
      </c>
      <c r="U38" s="100" t="s">
        <v>99</v>
      </c>
      <c r="V38" s="101"/>
      <c r="W38" s="100" t="s">
        <v>99</v>
      </c>
      <c r="X38" s="100" t="s">
        <v>99</v>
      </c>
      <c r="Y38" s="100" t="s">
        <v>99</v>
      </c>
      <c r="Z38" s="100" t="s">
        <v>99</v>
      </c>
      <c r="AA38" s="100" t="s">
        <v>99</v>
      </c>
      <c r="AB38" s="100" t="s">
        <v>99</v>
      </c>
      <c r="AC38" s="101"/>
      <c r="AD38" s="100" t="s">
        <v>99</v>
      </c>
      <c r="AE38" s="100" t="s">
        <v>99</v>
      </c>
      <c r="AF38" s="7">
        <v>26</v>
      </c>
      <c r="AG38" s="7">
        <f t="shared" si="6"/>
        <v>20</v>
      </c>
      <c r="AH38" s="7">
        <f t="shared" si="7"/>
        <v>4</v>
      </c>
      <c r="AI38" s="7">
        <f t="shared" si="8"/>
        <v>2</v>
      </c>
      <c r="AJ38" s="7" t="str">
        <f t="shared" si="9"/>
        <v>Plz Contact</v>
      </c>
      <c r="AK38" s="137">
        <f t="shared" si="10"/>
        <v>76.92307692307692</v>
      </c>
      <c r="AL38" s="41" t="str">
        <f t="shared" si="11"/>
        <v>Eligible</v>
      </c>
    </row>
    <row r="39" spans="1:38" x14ac:dyDescent="0.25">
      <c r="A39" s="7" t="s">
        <v>12</v>
      </c>
      <c r="B39" s="100" t="s">
        <v>99</v>
      </c>
      <c r="C39" s="100" t="s">
        <v>99</v>
      </c>
      <c r="D39" s="100" t="s">
        <v>99</v>
      </c>
      <c r="E39" s="100" t="s">
        <v>40</v>
      </c>
      <c r="F39" s="100" t="s">
        <v>40</v>
      </c>
      <c r="G39" s="100" t="s">
        <v>40</v>
      </c>
      <c r="H39" s="202"/>
      <c r="I39" s="100" t="s">
        <v>99</v>
      </c>
      <c r="J39" s="100" t="s">
        <v>40</v>
      </c>
      <c r="K39" s="100" t="s">
        <v>40</v>
      </c>
      <c r="L39" s="100" t="s">
        <v>40</v>
      </c>
      <c r="M39" s="100" t="s">
        <v>99</v>
      </c>
      <c r="N39" s="100" t="s">
        <v>99</v>
      </c>
      <c r="O39" s="101"/>
      <c r="P39" s="100" t="s">
        <v>40</v>
      </c>
      <c r="Q39" s="100" t="s">
        <v>40</v>
      </c>
      <c r="R39" s="100" t="s">
        <v>40</v>
      </c>
      <c r="S39" s="100" t="s">
        <v>99</v>
      </c>
      <c r="T39" s="100" t="s">
        <v>99</v>
      </c>
      <c r="U39" s="100" t="s">
        <v>99</v>
      </c>
      <c r="V39" s="101"/>
      <c r="W39" s="100" t="s">
        <v>99</v>
      </c>
      <c r="X39" s="100" t="s">
        <v>99</v>
      </c>
      <c r="Y39" s="100" t="s">
        <v>99</v>
      </c>
      <c r="Z39" s="100" t="s">
        <v>99</v>
      </c>
      <c r="AA39" s="100" t="s">
        <v>99</v>
      </c>
      <c r="AB39" s="100" t="s">
        <v>99</v>
      </c>
      <c r="AC39" s="101"/>
      <c r="AD39" s="100" t="s">
        <v>99</v>
      </c>
      <c r="AE39" s="100" t="s">
        <v>99</v>
      </c>
      <c r="AF39" s="7">
        <v>26</v>
      </c>
      <c r="AG39" s="7">
        <f t="shared" si="6"/>
        <v>17</v>
      </c>
      <c r="AH39" s="7">
        <f t="shared" si="7"/>
        <v>9</v>
      </c>
      <c r="AI39" s="7">
        <f t="shared" si="8"/>
        <v>0</v>
      </c>
      <c r="AJ39" s="7" t="str">
        <f t="shared" si="9"/>
        <v>Struck off</v>
      </c>
      <c r="AK39" s="137">
        <f t="shared" si="10"/>
        <v>65.384615384615387</v>
      </c>
      <c r="AL39" s="41" t="str">
        <f t="shared" si="11"/>
        <v>Not Eligible</v>
      </c>
    </row>
    <row r="40" spans="1:38" x14ac:dyDescent="0.25">
      <c r="A40" s="7" t="s">
        <v>16</v>
      </c>
      <c r="B40" s="100" t="s">
        <v>99</v>
      </c>
      <c r="C40" s="100" t="s">
        <v>99</v>
      </c>
      <c r="D40" s="100" t="s">
        <v>99</v>
      </c>
      <c r="E40" s="100" t="s">
        <v>99</v>
      </c>
      <c r="F40" s="100" t="s">
        <v>99</v>
      </c>
      <c r="G40" s="100" t="s">
        <v>99</v>
      </c>
      <c r="H40" s="202"/>
      <c r="I40" s="100" t="s">
        <v>99</v>
      </c>
      <c r="J40" s="100" t="s">
        <v>99</v>
      </c>
      <c r="K40" s="100" t="s">
        <v>99</v>
      </c>
      <c r="L40" s="100" t="s">
        <v>99</v>
      </c>
      <c r="M40" s="100" t="s">
        <v>99</v>
      </c>
      <c r="N40" s="100" t="s">
        <v>99</v>
      </c>
      <c r="O40" s="101"/>
      <c r="P40" s="100" t="s">
        <v>99</v>
      </c>
      <c r="Q40" s="100" t="s">
        <v>99</v>
      </c>
      <c r="R40" s="100" t="s">
        <v>99</v>
      </c>
      <c r="S40" s="100" t="s">
        <v>99</v>
      </c>
      <c r="T40" s="100" t="s">
        <v>99</v>
      </c>
      <c r="U40" s="100" t="s">
        <v>99</v>
      </c>
      <c r="V40" s="101"/>
      <c r="W40" s="100" t="s">
        <v>99</v>
      </c>
      <c r="X40" s="100" t="s">
        <v>99</v>
      </c>
      <c r="Y40" s="100" t="s">
        <v>99</v>
      </c>
      <c r="Z40" s="100" t="s">
        <v>99</v>
      </c>
      <c r="AA40" s="100" t="s">
        <v>99</v>
      </c>
      <c r="AB40" s="100" t="s">
        <v>99</v>
      </c>
      <c r="AC40" s="101"/>
      <c r="AD40" s="100" t="s">
        <v>99</v>
      </c>
      <c r="AE40" s="100" t="s">
        <v>99</v>
      </c>
      <c r="AF40" s="7">
        <v>26</v>
      </c>
      <c r="AG40" s="7">
        <f t="shared" si="6"/>
        <v>26</v>
      </c>
      <c r="AH40" s="7">
        <f t="shared" si="7"/>
        <v>0</v>
      </c>
      <c r="AI40" s="7">
        <f t="shared" si="8"/>
        <v>0</v>
      </c>
      <c r="AJ40" s="7" t="str">
        <f t="shared" si="9"/>
        <v>Excellent!</v>
      </c>
      <c r="AK40" s="137">
        <f t="shared" si="10"/>
        <v>100</v>
      </c>
      <c r="AL40" s="41" t="str">
        <f t="shared" si="11"/>
        <v>Eligible</v>
      </c>
    </row>
    <row r="41" spans="1:38" x14ac:dyDescent="0.25">
      <c r="A41" s="7" t="s">
        <v>15</v>
      </c>
      <c r="B41" s="100" t="s">
        <v>99</v>
      </c>
      <c r="C41" s="100" t="s">
        <v>99</v>
      </c>
      <c r="D41" s="100" t="s">
        <v>99</v>
      </c>
      <c r="E41" s="100" t="s">
        <v>99</v>
      </c>
      <c r="F41" s="100" t="s">
        <v>99</v>
      </c>
      <c r="G41" s="100" t="s">
        <v>99</v>
      </c>
      <c r="H41" s="202"/>
      <c r="I41" s="100" t="s">
        <v>40</v>
      </c>
      <c r="J41" s="100" t="s">
        <v>40</v>
      </c>
      <c r="K41" s="100" t="s">
        <v>40</v>
      </c>
      <c r="L41" s="100" t="s">
        <v>40</v>
      </c>
      <c r="M41" s="100" t="s">
        <v>40</v>
      </c>
      <c r="N41" s="100" t="s">
        <v>99</v>
      </c>
      <c r="O41" s="101"/>
      <c r="P41" s="100" t="s">
        <v>40</v>
      </c>
      <c r="Q41" s="100" t="s">
        <v>40</v>
      </c>
      <c r="R41" s="100" t="s">
        <v>40</v>
      </c>
      <c r="S41" s="100" t="s">
        <v>99</v>
      </c>
      <c r="T41" s="100" t="s">
        <v>99</v>
      </c>
      <c r="U41" s="100" t="s">
        <v>99</v>
      </c>
      <c r="V41" s="101"/>
      <c r="W41" s="100" t="s">
        <v>99</v>
      </c>
      <c r="X41" s="100" t="s">
        <v>99</v>
      </c>
      <c r="Y41" s="100" t="s">
        <v>99</v>
      </c>
      <c r="Z41" s="100" t="s">
        <v>99</v>
      </c>
      <c r="AA41" s="100" t="s">
        <v>99</v>
      </c>
      <c r="AB41" s="100" t="s">
        <v>99</v>
      </c>
      <c r="AC41" s="101"/>
      <c r="AD41" s="100" t="s">
        <v>99</v>
      </c>
      <c r="AE41" s="100" t="s">
        <v>99</v>
      </c>
      <c r="AF41" s="7">
        <v>26</v>
      </c>
      <c r="AG41" s="7">
        <f t="shared" si="6"/>
        <v>18</v>
      </c>
      <c r="AH41" s="7">
        <f t="shared" si="7"/>
        <v>8</v>
      </c>
      <c r="AI41" s="7">
        <f t="shared" si="8"/>
        <v>0</v>
      </c>
      <c r="AJ41" s="7" t="str">
        <f t="shared" si="9"/>
        <v>Struck off</v>
      </c>
      <c r="AK41" s="137">
        <f t="shared" si="10"/>
        <v>69.230769230769226</v>
      </c>
      <c r="AL41" s="41" t="str">
        <f t="shared" si="11"/>
        <v>Not Eligible</v>
      </c>
    </row>
    <row r="42" spans="1:38" x14ac:dyDescent="0.25">
      <c r="A42" s="7" t="s">
        <v>67</v>
      </c>
      <c r="B42" s="100" t="s">
        <v>99</v>
      </c>
      <c r="C42" s="100" t="s">
        <v>99</v>
      </c>
      <c r="D42" s="100" t="s">
        <v>99</v>
      </c>
      <c r="E42" s="100" t="s">
        <v>99</v>
      </c>
      <c r="F42" s="100" t="s">
        <v>391</v>
      </c>
      <c r="G42" s="100" t="s">
        <v>391</v>
      </c>
      <c r="H42" s="202"/>
      <c r="I42" s="100" t="s">
        <v>99</v>
      </c>
      <c r="J42" s="100" t="s">
        <v>99</v>
      </c>
      <c r="K42" s="100" t="s">
        <v>99</v>
      </c>
      <c r="L42" s="100" t="s">
        <v>99</v>
      </c>
      <c r="M42" s="100" t="s">
        <v>99</v>
      </c>
      <c r="N42" s="100" t="s">
        <v>99</v>
      </c>
      <c r="O42" s="101"/>
      <c r="P42" s="100" t="s">
        <v>99</v>
      </c>
      <c r="Q42" s="100" t="s">
        <v>99</v>
      </c>
      <c r="R42" s="100" t="s">
        <v>99</v>
      </c>
      <c r="S42" s="100" t="s">
        <v>99</v>
      </c>
      <c r="T42" s="100" t="s">
        <v>99</v>
      </c>
      <c r="U42" s="100" t="s">
        <v>99</v>
      </c>
      <c r="V42" s="101"/>
      <c r="W42" s="100" t="s">
        <v>99</v>
      </c>
      <c r="X42" s="100" t="s">
        <v>99</v>
      </c>
      <c r="Y42" s="100" t="s">
        <v>99</v>
      </c>
      <c r="Z42" s="100" t="s">
        <v>99</v>
      </c>
      <c r="AA42" s="100" t="s">
        <v>99</v>
      </c>
      <c r="AB42" s="100" t="s">
        <v>99</v>
      </c>
      <c r="AC42" s="101"/>
      <c r="AD42" s="100" t="s">
        <v>99</v>
      </c>
      <c r="AE42" s="100" t="s">
        <v>99</v>
      </c>
      <c r="AF42" s="7">
        <v>26</v>
      </c>
      <c r="AG42" s="7">
        <f t="shared" si="6"/>
        <v>24</v>
      </c>
      <c r="AH42" s="7">
        <f t="shared" si="7"/>
        <v>0</v>
      </c>
      <c r="AI42" s="7">
        <f t="shared" si="8"/>
        <v>2</v>
      </c>
      <c r="AJ42" s="7" t="str">
        <f t="shared" si="9"/>
        <v>Excellent!</v>
      </c>
      <c r="AK42" s="137">
        <f t="shared" si="10"/>
        <v>92.307692307692307</v>
      </c>
      <c r="AL42" s="41" t="str">
        <f t="shared" si="11"/>
        <v>Eligible</v>
      </c>
    </row>
    <row r="43" spans="1:38" x14ac:dyDescent="0.25">
      <c r="A43" s="7" t="s">
        <v>20</v>
      </c>
      <c r="B43" s="100" t="s">
        <v>99</v>
      </c>
      <c r="C43" s="100" t="s">
        <v>99</v>
      </c>
      <c r="D43" s="100" t="s">
        <v>99</v>
      </c>
      <c r="E43" s="100" t="s">
        <v>99</v>
      </c>
      <c r="F43" s="100" t="s">
        <v>99</v>
      </c>
      <c r="G43" s="100" t="s">
        <v>99</v>
      </c>
      <c r="H43" s="202"/>
      <c r="I43" s="100" t="s">
        <v>40</v>
      </c>
      <c r="J43" s="100" t="s">
        <v>99</v>
      </c>
      <c r="K43" s="100" t="s">
        <v>99</v>
      </c>
      <c r="L43" s="100" t="s">
        <v>99</v>
      </c>
      <c r="M43" s="100" t="s">
        <v>99</v>
      </c>
      <c r="N43" s="100" t="s">
        <v>99</v>
      </c>
      <c r="O43" s="101"/>
      <c r="P43" s="100" t="s">
        <v>99</v>
      </c>
      <c r="Q43" s="100" t="s">
        <v>99</v>
      </c>
      <c r="R43" s="100" t="s">
        <v>99</v>
      </c>
      <c r="S43" s="100" t="s">
        <v>99</v>
      </c>
      <c r="T43" s="100" t="s">
        <v>99</v>
      </c>
      <c r="U43" s="100" t="s">
        <v>99</v>
      </c>
      <c r="V43" s="101"/>
      <c r="W43" s="100" t="s">
        <v>99</v>
      </c>
      <c r="X43" s="100" t="s">
        <v>99</v>
      </c>
      <c r="Y43" s="100" t="s">
        <v>99</v>
      </c>
      <c r="Z43" s="100" t="s">
        <v>99</v>
      </c>
      <c r="AA43" s="100" t="s">
        <v>99</v>
      </c>
      <c r="AB43" s="100" t="s">
        <v>99</v>
      </c>
      <c r="AC43" s="101"/>
      <c r="AD43" s="100" t="s">
        <v>99</v>
      </c>
      <c r="AE43" s="100" t="s">
        <v>99</v>
      </c>
      <c r="AF43" s="7">
        <v>26</v>
      </c>
      <c r="AG43" s="7">
        <f t="shared" ref="AG43:AG50" si="12">COUNTIF(B43:AE43, "P")</f>
        <v>25</v>
      </c>
      <c r="AH43" s="7">
        <f t="shared" ref="AH43:AH50" si="13">COUNTIF(B43:AE43, "A")</f>
        <v>1</v>
      </c>
      <c r="AI43" s="7">
        <f t="shared" ref="AI43:AI50" si="14">COUNTIF(B43:AE43, "L")</f>
        <v>0</v>
      </c>
      <c r="AJ43" s="7" t="str">
        <f t="shared" ref="AJ43:AJ50" si="15">IF(AH43=0, "Excellent!", IF(AH43=1, "Good", IF(AH43=2, "Fair", IF(AH43=3, "Be Punctual", IF(AH43=4, "Plz Contact", "Struck off")))))</f>
        <v>Good</v>
      </c>
      <c r="AK43" s="137">
        <f t="shared" ref="AK43:AK50" si="16">AG43*100/26</f>
        <v>96.15384615384616</v>
      </c>
      <c r="AL43" s="41" t="str">
        <f t="shared" ref="AL43:AL50" si="17">IF(AND(AK43&gt;70, AK43&lt;=100),"Eligible","Not Eligible")</f>
        <v>Eligible</v>
      </c>
    </row>
    <row r="44" spans="1:38" x14ac:dyDescent="0.25">
      <c r="A44" s="7" t="s">
        <v>97</v>
      </c>
      <c r="B44" s="100" t="s">
        <v>99</v>
      </c>
      <c r="C44" s="100" t="s">
        <v>40</v>
      </c>
      <c r="D44" s="100" t="s">
        <v>40</v>
      </c>
      <c r="E44" s="100" t="s">
        <v>99</v>
      </c>
      <c r="F44" s="100" t="s">
        <v>99</v>
      </c>
      <c r="G44" s="100" t="s">
        <v>99</v>
      </c>
      <c r="H44" s="202"/>
      <c r="I44" s="100" t="s">
        <v>99</v>
      </c>
      <c r="J44" s="100" t="s">
        <v>99</v>
      </c>
      <c r="K44" s="100" t="s">
        <v>99</v>
      </c>
      <c r="L44" s="100" t="s">
        <v>99</v>
      </c>
      <c r="M44" s="100" t="s">
        <v>99</v>
      </c>
      <c r="N44" s="100" t="s">
        <v>99</v>
      </c>
      <c r="O44" s="101"/>
      <c r="P44" s="100" t="s">
        <v>99</v>
      </c>
      <c r="Q44" s="100" t="s">
        <v>99</v>
      </c>
      <c r="R44" s="100" t="s">
        <v>99</v>
      </c>
      <c r="S44" s="100" t="s">
        <v>99</v>
      </c>
      <c r="T44" s="100" t="s">
        <v>99</v>
      </c>
      <c r="U44" s="100" t="s">
        <v>99</v>
      </c>
      <c r="V44" s="101"/>
      <c r="W44" s="100" t="s">
        <v>99</v>
      </c>
      <c r="X44" s="100" t="s">
        <v>99</v>
      </c>
      <c r="Y44" s="100" t="s">
        <v>99</v>
      </c>
      <c r="Z44" s="100" t="s">
        <v>99</v>
      </c>
      <c r="AA44" s="100" t="s">
        <v>99</v>
      </c>
      <c r="AB44" s="100" t="s">
        <v>99</v>
      </c>
      <c r="AC44" s="101"/>
      <c r="AD44" s="100" t="s">
        <v>99</v>
      </c>
      <c r="AE44" s="100" t="s">
        <v>99</v>
      </c>
      <c r="AF44" s="7">
        <v>26</v>
      </c>
      <c r="AG44" s="7">
        <f t="shared" si="12"/>
        <v>24</v>
      </c>
      <c r="AH44" s="7">
        <f t="shared" si="13"/>
        <v>2</v>
      </c>
      <c r="AI44" s="7">
        <f t="shared" si="14"/>
        <v>0</v>
      </c>
      <c r="AJ44" s="7" t="str">
        <f t="shared" si="15"/>
        <v>Fair</v>
      </c>
      <c r="AK44" s="137">
        <f t="shared" si="16"/>
        <v>92.307692307692307</v>
      </c>
      <c r="AL44" s="41" t="str">
        <f t="shared" si="17"/>
        <v>Eligible</v>
      </c>
    </row>
    <row r="45" spans="1:38" x14ac:dyDescent="0.25">
      <c r="A45" s="7" t="s">
        <v>98</v>
      </c>
      <c r="B45" s="100" t="s">
        <v>99</v>
      </c>
      <c r="C45" s="100" t="s">
        <v>99</v>
      </c>
      <c r="D45" s="100" t="s">
        <v>40</v>
      </c>
      <c r="E45" s="100" t="s">
        <v>40</v>
      </c>
      <c r="F45" s="100" t="s">
        <v>100</v>
      </c>
      <c r="G45" s="100" t="s">
        <v>99</v>
      </c>
      <c r="H45" s="202"/>
      <c r="I45" s="100" t="s">
        <v>99</v>
      </c>
      <c r="J45" s="100" t="s">
        <v>99</v>
      </c>
      <c r="K45" s="100" t="s">
        <v>99</v>
      </c>
      <c r="L45" s="100" t="s">
        <v>99</v>
      </c>
      <c r="M45" s="100" t="s">
        <v>99</v>
      </c>
      <c r="N45" s="100" t="s">
        <v>99</v>
      </c>
      <c r="O45" s="101"/>
      <c r="P45" s="100" t="s">
        <v>99</v>
      </c>
      <c r="Q45" s="100" t="s">
        <v>99</v>
      </c>
      <c r="R45" s="100" t="s">
        <v>99</v>
      </c>
      <c r="S45" s="100" t="s">
        <v>99</v>
      </c>
      <c r="T45" s="100" t="s">
        <v>99</v>
      </c>
      <c r="U45" s="100" t="s">
        <v>99</v>
      </c>
      <c r="V45" s="101"/>
      <c r="W45" s="100" t="s">
        <v>99</v>
      </c>
      <c r="X45" s="100" t="s">
        <v>99</v>
      </c>
      <c r="Y45" s="100" t="s">
        <v>99</v>
      </c>
      <c r="Z45" s="100" t="s">
        <v>99</v>
      </c>
      <c r="AA45" s="100" t="s">
        <v>99</v>
      </c>
      <c r="AB45" s="100" t="s">
        <v>99</v>
      </c>
      <c r="AC45" s="101"/>
      <c r="AD45" s="100" t="s">
        <v>99</v>
      </c>
      <c r="AE45" s="100" t="s">
        <v>99</v>
      </c>
      <c r="AF45" s="7">
        <v>26</v>
      </c>
      <c r="AG45" s="7">
        <f t="shared" si="12"/>
        <v>23</v>
      </c>
      <c r="AH45" s="7">
        <f t="shared" si="13"/>
        <v>3</v>
      </c>
      <c r="AI45" s="7">
        <f t="shared" si="14"/>
        <v>0</v>
      </c>
      <c r="AJ45" s="7" t="str">
        <f t="shared" si="15"/>
        <v>Be Punctual</v>
      </c>
      <c r="AK45" s="137">
        <f t="shared" si="16"/>
        <v>88.461538461538467</v>
      </c>
      <c r="AL45" s="41" t="str">
        <f t="shared" si="17"/>
        <v>Eligible</v>
      </c>
    </row>
    <row r="46" spans="1:38" x14ac:dyDescent="0.25">
      <c r="A46" s="7" t="s">
        <v>11</v>
      </c>
      <c r="B46" s="100" t="s">
        <v>99</v>
      </c>
      <c r="C46" s="100" t="s">
        <v>40</v>
      </c>
      <c r="D46" s="100" t="s">
        <v>391</v>
      </c>
      <c r="E46" s="100" t="s">
        <v>391</v>
      </c>
      <c r="F46" s="100" t="s">
        <v>40</v>
      </c>
      <c r="G46" s="100" t="s">
        <v>40</v>
      </c>
      <c r="H46" s="202"/>
      <c r="I46" s="100" t="s">
        <v>40</v>
      </c>
      <c r="J46" s="100" t="s">
        <v>99</v>
      </c>
      <c r="K46" s="100" t="s">
        <v>99</v>
      </c>
      <c r="L46" s="100" t="s">
        <v>99</v>
      </c>
      <c r="M46" s="100" t="s">
        <v>99</v>
      </c>
      <c r="N46" s="100" t="s">
        <v>99</v>
      </c>
      <c r="O46" s="101"/>
      <c r="P46" s="100" t="s">
        <v>99</v>
      </c>
      <c r="Q46" s="100" t="s">
        <v>99</v>
      </c>
      <c r="R46" s="100" t="s">
        <v>99</v>
      </c>
      <c r="S46" s="100" t="s">
        <v>99</v>
      </c>
      <c r="T46" s="100" t="s">
        <v>99</v>
      </c>
      <c r="U46" s="100" t="s">
        <v>99</v>
      </c>
      <c r="V46" s="101"/>
      <c r="W46" s="100" t="s">
        <v>99</v>
      </c>
      <c r="X46" s="100" t="s">
        <v>99</v>
      </c>
      <c r="Y46" s="100" t="s">
        <v>99</v>
      </c>
      <c r="Z46" s="100" t="s">
        <v>99</v>
      </c>
      <c r="AA46" s="100" t="s">
        <v>99</v>
      </c>
      <c r="AB46" s="100" t="s">
        <v>99</v>
      </c>
      <c r="AC46" s="101"/>
      <c r="AD46" s="100" t="s">
        <v>99</v>
      </c>
      <c r="AE46" s="100" t="s">
        <v>99</v>
      </c>
      <c r="AF46" s="7">
        <v>26</v>
      </c>
      <c r="AG46" s="7">
        <f t="shared" si="12"/>
        <v>20</v>
      </c>
      <c r="AH46" s="7">
        <f t="shared" si="13"/>
        <v>4</v>
      </c>
      <c r="AI46" s="7">
        <f t="shared" si="14"/>
        <v>2</v>
      </c>
      <c r="AJ46" s="7" t="str">
        <f t="shared" si="15"/>
        <v>Plz Contact</v>
      </c>
      <c r="AK46" s="137">
        <f t="shared" si="16"/>
        <v>76.92307692307692</v>
      </c>
      <c r="AL46" s="41" t="str">
        <f t="shared" si="17"/>
        <v>Eligible</v>
      </c>
    </row>
    <row r="47" spans="1:38" x14ac:dyDescent="0.25">
      <c r="A47" s="7" t="s">
        <v>12</v>
      </c>
      <c r="B47" s="100" t="s">
        <v>99</v>
      </c>
      <c r="C47" s="100" t="s">
        <v>99</v>
      </c>
      <c r="D47" s="100" t="s">
        <v>99</v>
      </c>
      <c r="E47" s="100" t="s">
        <v>40</v>
      </c>
      <c r="F47" s="100" t="s">
        <v>40</v>
      </c>
      <c r="G47" s="100" t="s">
        <v>40</v>
      </c>
      <c r="H47" s="202"/>
      <c r="I47" s="100" t="s">
        <v>99</v>
      </c>
      <c r="J47" s="100" t="s">
        <v>40</v>
      </c>
      <c r="K47" s="100" t="s">
        <v>40</v>
      </c>
      <c r="L47" s="100" t="s">
        <v>40</v>
      </c>
      <c r="M47" s="100" t="s">
        <v>99</v>
      </c>
      <c r="N47" s="100" t="s">
        <v>99</v>
      </c>
      <c r="O47" s="101"/>
      <c r="P47" s="100" t="s">
        <v>40</v>
      </c>
      <c r="Q47" s="100" t="s">
        <v>40</v>
      </c>
      <c r="R47" s="100" t="s">
        <v>40</v>
      </c>
      <c r="S47" s="100" t="s">
        <v>99</v>
      </c>
      <c r="T47" s="100" t="s">
        <v>99</v>
      </c>
      <c r="U47" s="100" t="s">
        <v>99</v>
      </c>
      <c r="V47" s="101"/>
      <c r="W47" s="100" t="s">
        <v>99</v>
      </c>
      <c r="X47" s="100" t="s">
        <v>99</v>
      </c>
      <c r="Y47" s="100" t="s">
        <v>99</v>
      </c>
      <c r="Z47" s="100" t="s">
        <v>99</v>
      </c>
      <c r="AA47" s="100" t="s">
        <v>99</v>
      </c>
      <c r="AB47" s="100" t="s">
        <v>99</v>
      </c>
      <c r="AC47" s="101"/>
      <c r="AD47" s="100" t="s">
        <v>99</v>
      </c>
      <c r="AE47" s="100" t="s">
        <v>99</v>
      </c>
      <c r="AF47" s="7">
        <v>26</v>
      </c>
      <c r="AG47" s="7">
        <f t="shared" si="12"/>
        <v>17</v>
      </c>
      <c r="AH47" s="7">
        <f t="shared" si="13"/>
        <v>9</v>
      </c>
      <c r="AI47" s="7">
        <f t="shared" si="14"/>
        <v>0</v>
      </c>
      <c r="AJ47" s="7" t="str">
        <f t="shared" si="15"/>
        <v>Struck off</v>
      </c>
      <c r="AK47" s="137">
        <f t="shared" si="16"/>
        <v>65.384615384615387</v>
      </c>
      <c r="AL47" s="41" t="str">
        <f t="shared" si="17"/>
        <v>Not Eligible</v>
      </c>
    </row>
    <row r="48" spans="1:38" x14ac:dyDescent="0.25">
      <c r="A48" s="7" t="s">
        <v>16</v>
      </c>
      <c r="B48" s="100" t="s">
        <v>99</v>
      </c>
      <c r="C48" s="100" t="s">
        <v>99</v>
      </c>
      <c r="D48" s="100" t="s">
        <v>99</v>
      </c>
      <c r="E48" s="100" t="s">
        <v>99</v>
      </c>
      <c r="F48" s="100" t="s">
        <v>99</v>
      </c>
      <c r="G48" s="100" t="s">
        <v>99</v>
      </c>
      <c r="H48" s="202"/>
      <c r="I48" s="100" t="s">
        <v>99</v>
      </c>
      <c r="J48" s="100" t="s">
        <v>99</v>
      </c>
      <c r="K48" s="100" t="s">
        <v>99</v>
      </c>
      <c r="L48" s="100" t="s">
        <v>99</v>
      </c>
      <c r="M48" s="100" t="s">
        <v>99</v>
      </c>
      <c r="N48" s="100" t="s">
        <v>99</v>
      </c>
      <c r="O48" s="101"/>
      <c r="P48" s="100" t="s">
        <v>99</v>
      </c>
      <c r="Q48" s="100" t="s">
        <v>99</v>
      </c>
      <c r="R48" s="100" t="s">
        <v>99</v>
      </c>
      <c r="S48" s="100" t="s">
        <v>99</v>
      </c>
      <c r="T48" s="100" t="s">
        <v>99</v>
      </c>
      <c r="U48" s="100" t="s">
        <v>99</v>
      </c>
      <c r="V48" s="101"/>
      <c r="W48" s="100" t="s">
        <v>99</v>
      </c>
      <c r="X48" s="100" t="s">
        <v>99</v>
      </c>
      <c r="Y48" s="100" t="s">
        <v>99</v>
      </c>
      <c r="Z48" s="100" t="s">
        <v>99</v>
      </c>
      <c r="AA48" s="100" t="s">
        <v>99</v>
      </c>
      <c r="AB48" s="100" t="s">
        <v>99</v>
      </c>
      <c r="AC48" s="101"/>
      <c r="AD48" s="100" t="s">
        <v>99</v>
      </c>
      <c r="AE48" s="100" t="s">
        <v>99</v>
      </c>
      <c r="AF48" s="7">
        <v>26</v>
      </c>
      <c r="AG48" s="7">
        <f t="shared" si="12"/>
        <v>26</v>
      </c>
      <c r="AH48" s="7">
        <f t="shared" si="13"/>
        <v>0</v>
      </c>
      <c r="AI48" s="7">
        <f t="shared" si="14"/>
        <v>0</v>
      </c>
      <c r="AJ48" s="7" t="str">
        <f t="shared" si="15"/>
        <v>Excellent!</v>
      </c>
      <c r="AK48" s="137">
        <f t="shared" si="16"/>
        <v>100</v>
      </c>
      <c r="AL48" s="41" t="str">
        <f t="shared" si="17"/>
        <v>Eligible</v>
      </c>
    </row>
    <row r="49" spans="1:38" x14ac:dyDescent="0.25">
      <c r="A49" s="7" t="s">
        <v>15</v>
      </c>
      <c r="B49" s="100" t="s">
        <v>99</v>
      </c>
      <c r="C49" s="100" t="s">
        <v>99</v>
      </c>
      <c r="D49" s="100" t="s">
        <v>99</v>
      </c>
      <c r="E49" s="100" t="s">
        <v>99</v>
      </c>
      <c r="F49" s="100" t="s">
        <v>99</v>
      </c>
      <c r="G49" s="100" t="s">
        <v>99</v>
      </c>
      <c r="H49" s="202"/>
      <c r="I49" s="100" t="s">
        <v>40</v>
      </c>
      <c r="J49" s="100" t="s">
        <v>40</v>
      </c>
      <c r="K49" s="100" t="s">
        <v>40</v>
      </c>
      <c r="L49" s="100" t="s">
        <v>40</v>
      </c>
      <c r="M49" s="100" t="s">
        <v>40</v>
      </c>
      <c r="N49" s="100" t="s">
        <v>99</v>
      </c>
      <c r="O49" s="101"/>
      <c r="P49" s="100" t="s">
        <v>40</v>
      </c>
      <c r="Q49" s="100" t="s">
        <v>40</v>
      </c>
      <c r="R49" s="100" t="s">
        <v>40</v>
      </c>
      <c r="S49" s="100" t="s">
        <v>99</v>
      </c>
      <c r="T49" s="100" t="s">
        <v>99</v>
      </c>
      <c r="U49" s="100" t="s">
        <v>99</v>
      </c>
      <c r="V49" s="101"/>
      <c r="W49" s="100" t="s">
        <v>99</v>
      </c>
      <c r="X49" s="100" t="s">
        <v>99</v>
      </c>
      <c r="Y49" s="100" t="s">
        <v>99</v>
      </c>
      <c r="Z49" s="100" t="s">
        <v>99</v>
      </c>
      <c r="AA49" s="100" t="s">
        <v>99</v>
      </c>
      <c r="AB49" s="100" t="s">
        <v>99</v>
      </c>
      <c r="AC49" s="101"/>
      <c r="AD49" s="100" t="s">
        <v>99</v>
      </c>
      <c r="AE49" s="100" t="s">
        <v>99</v>
      </c>
      <c r="AF49" s="7">
        <v>26</v>
      </c>
      <c r="AG49" s="7">
        <f t="shared" si="12"/>
        <v>18</v>
      </c>
      <c r="AH49" s="7">
        <f t="shared" si="13"/>
        <v>8</v>
      </c>
      <c r="AI49" s="7">
        <f t="shared" si="14"/>
        <v>0</v>
      </c>
      <c r="AJ49" s="7" t="str">
        <f t="shared" si="15"/>
        <v>Struck off</v>
      </c>
      <c r="AK49" s="137">
        <f t="shared" si="16"/>
        <v>69.230769230769226</v>
      </c>
      <c r="AL49" s="41" t="str">
        <f t="shared" si="17"/>
        <v>Not Eligible</v>
      </c>
    </row>
    <row r="50" spans="1:38" x14ac:dyDescent="0.25">
      <c r="A50" s="7" t="s">
        <v>67</v>
      </c>
      <c r="B50" s="100" t="s">
        <v>99</v>
      </c>
      <c r="C50" s="100" t="s">
        <v>99</v>
      </c>
      <c r="D50" s="100" t="s">
        <v>99</v>
      </c>
      <c r="E50" s="100" t="s">
        <v>99</v>
      </c>
      <c r="F50" s="100" t="s">
        <v>391</v>
      </c>
      <c r="G50" s="100" t="s">
        <v>391</v>
      </c>
      <c r="H50" s="202"/>
      <c r="I50" s="100" t="s">
        <v>99</v>
      </c>
      <c r="J50" s="100" t="s">
        <v>99</v>
      </c>
      <c r="K50" s="100" t="s">
        <v>99</v>
      </c>
      <c r="L50" s="100" t="s">
        <v>99</v>
      </c>
      <c r="M50" s="100" t="s">
        <v>99</v>
      </c>
      <c r="N50" s="100" t="s">
        <v>99</v>
      </c>
      <c r="O50" s="101"/>
      <c r="P50" s="100" t="s">
        <v>99</v>
      </c>
      <c r="Q50" s="100" t="s">
        <v>99</v>
      </c>
      <c r="R50" s="100" t="s">
        <v>99</v>
      </c>
      <c r="S50" s="100" t="s">
        <v>99</v>
      </c>
      <c r="T50" s="100" t="s">
        <v>99</v>
      </c>
      <c r="U50" s="100" t="s">
        <v>99</v>
      </c>
      <c r="V50" s="101"/>
      <c r="W50" s="100" t="s">
        <v>99</v>
      </c>
      <c r="X50" s="100" t="s">
        <v>99</v>
      </c>
      <c r="Y50" s="100" t="s">
        <v>99</v>
      </c>
      <c r="Z50" s="100" t="s">
        <v>99</v>
      </c>
      <c r="AA50" s="100" t="s">
        <v>99</v>
      </c>
      <c r="AB50" s="100" t="s">
        <v>99</v>
      </c>
      <c r="AC50" s="101"/>
      <c r="AD50" s="100" t="s">
        <v>99</v>
      </c>
      <c r="AE50" s="100" t="s">
        <v>99</v>
      </c>
      <c r="AF50" s="7">
        <v>26</v>
      </c>
      <c r="AG50" s="7">
        <f t="shared" si="12"/>
        <v>24</v>
      </c>
      <c r="AH50" s="7">
        <f t="shared" si="13"/>
        <v>0</v>
      </c>
      <c r="AI50" s="7">
        <f t="shared" si="14"/>
        <v>2</v>
      </c>
      <c r="AJ50" s="7" t="str">
        <f t="shared" si="15"/>
        <v>Excellent!</v>
      </c>
      <c r="AK50" s="137">
        <f t="shared" si="16"/>
        <v>92.307692307692307</v>
      </c>
      <c r="AL50" s="41" t="str">
        <f t="shared" si="17"/>
        <v>Eligible</v>
      </c>
    </row>
    <row r="52" spans="1:38" x14ac:dyDescent="0.25">
      <c r="A52" t="s">
        <v>101</v>
      </c>
      <c r="B52">
        <v>1</v>
      </c>
      <c r="C52">
        <v>2</v>
      </c>
      <c r="D52">
        <v>3</v>
      </c>
      <c r="E52">
        <v>4</v>
      </c>
      <c r="F52">
        <v>5</v>
      </c>
      <c r="G52">
        <v>4</v>
      </c>
      <c r="H52">
        <v>1</v>
      </c>
      <c r="I52" t="s">
        <v>100</v>
      </c>
      <c r="J52" t="s">
        <v>100</v>
      </c>
      <c r="K52" t="s">
        <v>100</v>
      </c>
      <c r="L52">
        <v>1</v>
      </c>
      <c r="N52" s="256">
        <f>COUNT(B52:M52)</f>
        <v>8</v>
      </c>
      <c r="O52" s="256"/>
      <c r="P52" s="256"/>
      <c r="Q52" s="256"/>
      <c r="R52" s="256"/>
      <c r="S52" s="256"/>
      <c r="U52" s="255" t="s">
        <v>109</v>
      </c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</row>
    <row r="53" spans="1:38" x14ac:dyDescent="0.25">
      <c r="A53" t="s">
        <v>102</v>
      </c>
      <c r="B53">
        <v>1</v>
      </c>
      <c r="C53">
        <v>1</v>
      </c>
      <c r="D53">
        <v>1</v>
      </c>
      <c r="E53" t="s">
        <v>100</v>
      </c>
      <c r="F53" t="s">
        <v>105</v>
      </c>
      <c r="G53" t="s">
        <v>100</v>
      </c>
      <c r="N53" s="256">
        <f>COUNTA(B53:L53)</f>
        <v>6</v>
      </c>
      <c r="O53" s="256"/>
      <c r="P53" s="256"/>
      <c r="Q53" s="256"/>
      <c r="R53" s="256"/>
      <c r="S53" s="256"/>
      <c r="U53" s="255" t="s">
        <v>110</v>
      </c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</row>
    <row r="54" spans="1:38" x14ac:dyDescent="0.25">
      <c r="A54" t="s">
        <v>103</v>
      </c>
      <c r="B54">
        <v>1</v>
      </c>
      <c r="C54">
        <v>1</v>
      </c>
      <c r="D54" t="s">
        <v>100</v>
      </c>
      <c r="E54">
        <v>1</v>
      </c>
      <c r="F54" t="s">
        <v>216</v>
      </c>
      <c r="G54" t="s">
        <v>100</v>
      </c>
      <c r="I54" t="s">
        <v>106</v>
      </c>
      <c r="J54" t="s">
        <v>107</v>
      </c>
      <c r="K54" t="s">
        <v>217</v>
      </c>
      <c r="L54" t="s">
        <v>218</v>
      </c>
      <c r="M54" t="s">
        <v>219</v>
      </c>
      <c r="N54" s="256">
        <f>COUNTBLANK(B54:L54)</f>
        <v>1</v>
      </c>
      <c r="O54" s="256"/>
      <c r="P54" s="256"/>
      <c r="Q54" s="256"/>
      <c r="R54" s="256"/>
      <c r="S54" s="256"/>
      <c r="U54" s="255" t="s">
        <v>111</v>
      </c>
      <c r="V54" s="255"/>
      <c r="W54" s="255"/>
      <c r="X54" s="255"/>
      <c r="Y54" s="255"/>
      <c r="Z54" s="255"/>
      <c r="AA54" s="255"/>
      <c r="AB54" s="255"/>
      <c r="AC54" s="255"/>
      <c r="AD54" s="255"/>
      <c r="AE54" s="23"/>
    </row>
    <row r="55" spans="1:38" x14ac:dyDescent="0.25">
      <c r="A55" t="s">
        <v>104</v>
      </c>
      <c r="B55" s="254" t="s">
        <v>108</v>
      </c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</row>
  </sheetData>
  <customSheetViews>
    <customSheetView guid="{D6BA57A5-118E-4B58-A351-7E1C36DA5B56}">
      <selection activeCell="Z25" sqref="Z25"/>
      <pageMargins left="0.7" right="0.7" top="0.75" bottom="0.75" header="0.3" footer="0.3"/>
      <pageSetup orientation="portrait" r:id="rId1"/>
    </customSheetView>
    <customSheetView guid="{05B8E57A-BB97-41F0-B6FB-606E79293C77}">
      <selection activeCell="B23" sqref="B23:S23"/>
      <pageMargins left="0.7" right="0.7" top="0.75" bottom="0.75" header="0.3" footer="0.3"/>
      <pageSetup orientation="portrait" r:id="rId2"/>
    </customSheetView>
    <customSheetView guid="{3C013989-8552-4FE1-BB7E-C88994E2D13D}">
      <selection activeCell="Z25" sqref="Z25"/>
      <pageMargins left="0.7" right="0.7" top="0.75" bottom="0.75" header="0.3" footer="0.3"/>
      <pageSetup orientation="portrait" r:id="rId3"/>
    </customSheetView>
    <customSheetView guid="{75B547B5-834C-4784-8C45-4C35B93C736F}">
      <selection activeCell="Z25" sqref="Z25"/>
      <pageMargins left="0.7" right="0.7" top="0.75" bottom="0.75" header="0.3" footer="0.3"/>
      <pageSetup orientation="portrait" r:id="rId4"/>
    </customSheetView>
  </customSheetViews>
  <mergeCells count="7">
    <mergeCell ref="B55:S55"/>
    <mergeCell ref="U52:AE52"/>
    <mergeCell ref="U53:AE53"/>
    <mergeCell ref="U54:AD54"/>
    <mergeCell ref="N52:S52"/>
    <mergeCell ref="N53:S53"/>
    <mergeCell ref="N54:S54"/>
  </mergeCells>
  <conditionalFormatting sqref="B3:G50 I3:AE50">
    <cfRule type="cellIs" dxfId="46" priority="1" operator="equal">
      <formula>"L"</formula>
    </cfRule>
    <cfRule type="cellIs" dxfId="45" priority="2" operator="equal">
      <formula>"A"</formula>
    </cfRule>
    <cfRule type="cellIs" dxfId="44" priority="3" operator="equal">
      <formula>"P"</formula>
    </cfRule>
  </conditionalFormatting>
  <conditionalFormatting sqref="B2:AE2">
    <cfRule type="cellIs" dxfId="43" priority="6" operator="equal">
      <formula>"L"</formula>
    </cfRule>
    <cfRule type="cellIs" dxfId="42" priority="7" operator="equal">
      <formula>"A"</formula>
    </cfRule>
    <cfRule type="cellIs" dxfId="41" priority="8" operator="equal">
      <formula>"P"</formula>
    </cfRule>
  </conditionalFormatting>
  <conditionalFormatting sqref="AL2:AL50">
    <cfRule type="containsText" dxfId="40" priority="4" operator="containsText" text="Not Eligible">
      <formula>NOT(ISERROR(SEARCH("Not Eligible",AL2)))</formula>
    </cfRule>
    <cfRule type="containsText" dxfId="39" priority="5" operator="containsText" text="Eligible">
      <formula>NOT(ISERROR(SEARCH("Eligible",AL2)))</formula>
    </cfRule>
  </conditionalFormatting>
  <pageMargins left="0.25" right="0.25" top="0.75" bottom="0.75" header="0.3" footer="0.3"/>
  <pageSetup paperSize="9" scale="60" orientation="landscape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"/>
  <sheetViews>
    <sheetView topLeftCell="C1" workbookViewId="0">
      <selection activeCell="E10" sqref="E10"/>
    </sheetView>
  </sheetViews>
  <sheetFormatPr defaultRowHeight="15" x14ac:dyDescent="0.25"/>
  <cols>
    <col min="1" max="1" width="30.42578125" customWidth="1"/>
    <col min="2" max="2" width="21.140625" customWidth="1"/>
    <col min="3" max="3" width="22.5703125" customWidth="1"/>
    <col min="5" max="5" width="29.42578125" customWidth="1"/>
    <col min="6" max="6" width="20.5703125" customWidth="1"/>
    <col min="7" max="7" width="20.85546875" customWidth="1"/>
    <col min="8" max="8" width="16.5703125" customWidth="1"/>
  </cols>
  <sheetData>
    <row r="1" spans="1:8" ht="21" x14ac:dyDescent="0.35">
      <c r="A1" s="257" t="s">
        <v>120</v>
      </c>
      <c r="B1" s="257"/>
      <c r="C1" s="257"/>
      <c r="E1" s="261" t="s">
        <v>120</v>
      </c>
      <c r="F1" s="262"/>
      <c r="G1" s="262"/>
      <c r="H1" s="262"/>
    </row>
    <row r="2" spans="1:8" ht="15.75" x14ac:dyDescent="0.25">
      <c r="A2" s="27" t="s">
        <v>45</v>
      </c>
      <c r="B2" s="27" t="s">
        <v>121</v>
      </c>
      <c r="C2" s="27" t="s">
        <v>122</v>
      </c>
      <c r="E2" s="27" t="s">
        <v>45</v>
      </c>
      <c r="F2" s="27" t="s">
        <v>121</v>
      </c>
      <c r="G2" s="27" t="s">
        <v>122</v>
      </c>
      <c r="H2" s="27" t="s">
        <v>123</v>
      </c>
    </row>
    <row r="3" spans="1:8" x14ac:dyDescent="0.25">
      <c r="A3" s="10">
        <v>42170</v>
      </c>
      <c r="B3" s="11">
        <v>56000</v>
      </c>
      <c r="C3" s="11"/>
      <c r="E3" s="10">
        <v>42020</v>
      </c>
      <c r="F3" s="71">
        <v>15000</v>
      </c>
      <c r="G3" s="71"/>
      <c r="H3" s="72">
        <f>F3</f>
        <v>15000</v>
      </c>
    </row>
    <row r="4" spans="1:8" x14ac:dyDescent="0.25">
      <c r="A4" s="10">
        <v>42171</v>
      </c>
      <c r="B4" s="11">
        <v>10000</v>
      </c>
      <c r="C4" s="11"/>
      <c r="E4" s="10">
        <v>42023</v>
      </c>
      <c r="F4" s="11">
        <v>15000</v>
      </c>
      <c r="G4" s="11"/>
      <c r="H4" s="28">
        <f>H3+F4-G4</f>
        <v>30000</v>
      </c>
    </row>
    <row r="5" spans="1:8" x14ac:dyDescent="0.25">
      <c r="A5" s="10">
        <v>42172</v>
      </c>
      <c r="B5" s="11"/>
      <c r="C5" s="11">
        <v>40000</v>
      </c>
      <c r="E5" s="10">
        <v>42024</v>
      </c>
      <c r="F5" s="11">
        <v>60000</v>
      </c>
      <c r="G5" s="11"/>
      <c r="H5" s="28">
        <f t="shared" ref="H5:H19" si="0">H4+F5-G5</f>
        <v>90000</v>
      </c>
    </row>
    <row r="6" spans="1:8" x14ac:dyDescent="0.25">
      <c r="A6" s="10">
        <v>42173</v>
      </c>
      <c r="B6" s="11">
        <v>50000</v>
      </c>
      <c r="C6" s="11"/>
      <c r="E6" s="10">
        <v>42025</v>
      </c>
      <c r="F6" s="11">
        <v>70000</v>
      </c>
      <c r="G6" s="11"/>
      <c r="H6" s="28">
        <f t="shared" si="0"/>
        <v>160000</v>
      </c>
    </row>
    <row r="7" spans="1:8" x14ac:dyDescent="0.25">
      <c r="A7" s="10">
        <v>42174</v>
      </c>
      <c r="B7" s="11">
        <v>20000</v>
      </c>
      <c r="C7" s="11"/>
      <c r="E7" s="10">
        <v>42026</v>
      </c>
      <c r="F7" s="11">
        <v>80000</v>
      </c>
      <c r="G7" s="11"/>
      <c r="H7" s="28">
        <f t="shared" si="0"/>
        <v>240000</v>
      </c>
    </row>
    <row r="8" spans="1:8" x14ac:dyDescent="0.25">
      <c r="A8" s="10">
        <v>42177</v>
      </c>
      <c r="B8" s="11"/>
      <c r="C8" s="11"/>
      <c r="E8" s="10">
        <v>42027</v>
      </c>
      <c r="F8" s="11"/>
      <c r="G8" s="11">
        <v>220000</v>
      </c>
      <c r="H8" s="28">
        <f t="shared" si="0"/>
        <v>20000</v>
      </c>
    </row>
    <row r="9" spans="1:8" x14ac:dyDescent="0.25">
      <c r="A9" s="10">
        <v>42178</v>
      </c>
      <c r="B9" s="11"/>
      <c r="C9" s="11"/>
      <c r="E9" s="10">
        <v>42030</v>
      </c>
      <c r="F9" s="11"/>
      <c r="G9" s="11">
        <v>20000</v>
      </c>
      <c r="H9" s="28">
        <f t="shared" si="0"/>
        <v>0</v>
      </c>
    </row>
    <row r="10" spans="1:8" x14ac:dyDescent="0.25">
      <c r="A10" s="10">
        <v>42179</v>
      </c>
      <c r="B10" s="11"/>
      <c r="C10" s="11"/>
      <c r="E10" s="10">
        <v>42031</v>
      </c>
      <c r="F10" s="11"/>
      <c r="G10" s="11"/>
      <c r="H10" s="28">
        <f t="shared" si="0"/>
        <v>0</v>
      </c>
    </row>
    <row r="11" spans="1:8" x14ac:dyDescent="0.25">
      <c r="A11" s="10">
        <v>42180</v>
      </c>
      <c r="B11" s="11"/>
      <c r="C11" s="11"/>
      <c r="E11" s="10">
        <v>42032</v>
      </c>
      <c r="F11" s="11"/>
      <c r="G11" s="11"/>
      <c r="H11" s="28">
        <f t="shared" si="0"/>
        <v>0</v>
      </c>
    </row>
    <row r="12" spans="1:8" x14ac:dyDescent="0.25">
      <c r="A12" s="10">
        <v>42181</v>
      </c>
      <c r="B12" s="11"/>
      <c r="C12" s="11"/>
      <c r="E12" s="10">
        <v>42033</v>
      </c>
      <c r="F12" s="11">
        <v>8000</v>
      </c>
      <c r="G12" s="11"/>
      <c r="H12" s="28">
        <f t="shared" si="0"/>
        <v>8000</v>
      </c>
    </row>
    <row r="13" spans="1:8" x14ac:dyDescent="0.25">
      <c r="A13" s="10">
        <v>42184</v>
      </c>
      <c r="B13" s="11"/>
      <c r="C13" s="11"/>
      <c r="E13" s="10">
        <v>42034</v>
      </c>
      <c r="F13" s="11"/>
      <c r="G13" s="11">
        <v>6000</v>
      </c>
      <c r="H13" s="28">
        <f t="shared" si="0"/>
        <v>2000</v>
      </c>
    </row>
    <row r="14" spans="1:8" x14ac:dyDescent="0.25">
      <c r="A14" s="10">
        <v>42185</v>
      </c>
      <c r="B14" s="11"/>
      <c r="C14" s="11"/>
      <c r="E14" s="10">
        <v>42037</v>
      </c>
      <c r="F14" s="11"/>
      <c r="G14" s="11"/>
      <c r="H14" s="28">
        <f t="shared" si="0"/>
        <v>2000</v>
      </c>
    </row>
    <row r="15" spans="1:8" x14ac:dyDescent="0.25">
      <c r="A15" s="10">
        <v>42186</v>
      </c>
      <c r="B15" s="11"/>
      <c r="C15" s="11"/>
      <c r="E15" s="10">
        <v>42038</v>
      </c>
      <c r="F15" s="11"/>
      <c r="G15" s="11"/>
      <c r="H15" s="28">
        <f t="shared" si="0"/>
        <v>2000</v>
      </c>
    </row>
    <row r="16" spans="1:8" x14ac:dyDescent="0.25">
      <c r="A16" s="10">
        <v>42187</v>
      </c>
      <c r="B16" s="11"/>
      <c r="C16" s="11"/>
      <c r="E16" s="10">
        <v>42039</v>
      </c>
      <c r="F16" s="11"/>
      <c r="G16" s="11"/>
      <c r="H16" s="28">
        <f t="shared" si="0"/>
        <v>2000</v>
      </c>
    </row>
    <row r="17" spans="1:8" x14ac:dyDescent="0.25">
      <c r="A17" s="10">
        <v>42188</v>
      </c>
      <c r="B17" s="11"/>
      <c r="C17" s="11"/>
      <c r="E17" s="10">
        <v>42040</v>
      </c>
      <c r="F17" s="11"/>
      <c r="G17" s="11"/>
      <c r="H17" s="28">
        <f t="shared" si="0"/>
        <v>2000</v>
      </c>
    </row>
    <row r="18" spans="1:8" x14ac:dyDescent="0.25">
      <c r="A18" s="10">
        <v>42191</v>
      </c>
      <c r="B18" s="11"/>
      <c r="C18" s="11"/>
      <c r="E18" s="10">
        <v>42041</v>
      </c>
      <c r="F18" s="11"/>
      <c r="G18" s="11"/>
      <c r="H18" s="28">
        <f t="shared" si="0"/>
        <v>2000</v>
      </c>
    </row>
    <row r="19" spans="1:8" x14ac:dyDescent="0.25">
      <c r="A19" s="10">
        <v>42192</v>
      </c>
      <c r="B19" s="11"/>
      <c r="C19" s="11"/>
      <c r="E19" s="10">
        <v>42044</v>
      </c>
      <c r="F19" s="11"/>
      <c r="G19" s="11"/>
      <c r="H19" s="28">
        <f t="shared" si="0"/>
        <v>2000</v>
      </c>
    </row>
    <row r="20" spans="1:8" x14ac:dyDescent="0.25">
      <c r="A20" s="29" t="s">
        <v>123</v>
      </c>
      <c r="B20" s="258">
        <f>SUM(B3:B19)-SUM(C3:C19)</f>
        <v>96000</v>
      </c>
      <c r="C20" s="259"/>
      <c r="E20" s="29"/>
      <c r="F20" s="258"/>
      <c r="G20" s="260"/>
      <c r="H20" s="30"/>
    </row>
  </sheetData>
  <customSheetViews>
    <customSheetView guid="{D6BA57A5-118E-4B58-A351-7E1C36DA5B56}">
      <selection activeCell="C26" sqref="C26"/>
      <pageMargins left="0.7" right="0.7" top="0.75" bottom="0.75" header="0.3" footer="0.3"/>
      <pageSetup orientation="portrait" r:id="rId1"/>
    </customSheetView>
    <customSheetView guid="{05B8E57A-BB97-41F0-B6FB-606E79293C77}" topLeftCell="C1">
      <selection activeCell="G14" sqref="G14"/>
      <pageMargins left="0.7" right="0.7" top="0.75" bottom="0.75" header="0.3" footer="0.3"/>
      <pageSetup orientation="portrait" r:id="rId2"/>
    </customSheetView>
    <customSheetView guid="{3C013989-8552-4FE1-BB7E-C88994E2D13D}">
      <selection activeCell="C26" sqref="C26"/>
      <pageMargins left="0.7" right="0.7" top="0.75" bottom="0.75" header="0.3" footer="0.3"/>
      <pageSetup orientation="portrait" r:id="rId3"/>
    </customSheetView>
    <customSheetView guid="{75B547B5-834C-4784-8C45-4C35B93C736F}">
      <selection activeCell="C26" sqref="C26"/>
      <pageMargins left="0.7" right="0.7" top="0.75" bottom="0.75" header="0.3" footer="0.3"/>
      <pageSetup orientation="portrait" r:id="rId4"/>
    </customSheetView>
  </customSheetViews>
  <mergeCells count="4">
    <mergeCell ref="A1:C1"/>
    <mergeCell ref="B20:C20"/>
    <mergeCell ref="F20:G20"/>
    <mergeCell ref="E1:H1"/>
  </mergeCells>
  <pageMargins left="0.7" right="0.7" top="0.75" bottom="0.75" header="0.3" footer="0.3"/>
  <pageSetup orientation="portrait"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16"/>
  <sheetViews>
    <sheetView workbookViewId="0">
      <selection activeCell="I3" sqref="I3"/>
    </sheetView>
  </sheetViews>
  <sheetFormatPr defaultRowHeight="15" x14ac:dyDescent="0.25"/>
  <cols>
    <col min="1" max="1" width="7.7109375" customWidth="1"/>
    <col min="2" max="2" width="11.5703125" customWidth="1"/>
    <col min="3" max="3" width="23.5703125" customWidth="1"/>
    <col min="4" max="4" width="15" customWidth="1"/>
    <col min="7" max="7" width="10.85546875" customWidth="1"/>
    <col min="8" max="8" width="13.5703125" customWidth="1"/>
    <col min="9" max="9" width="11.7109375" customWidth="1"/>
  </cols>
  <sheetData>
    <row r="1" spans="1:9" x14ac:dyDescent="0.25">
      <c r="A1" s="263" t="s">
        <v>127</v>
      </c>
      <c r="B1" s="263"/>
      <c r="C1" s="263"/>
      <c r="D1" s="263"/>
      <c r="F1" s="263" t="s">
        <v>131</v>
      </c>
      <c r="G1" s="263"/>
      <c r="H1" s="263"/>
      <c r="I1" s="263"/>
    </row>
    <row r="2" spans="1:9" x14ac:dyDescent="0.25">
      <c r="A2" s="31" t="s">
        <v>50</v>
      </c>
      <c r="B2" s="31" t="s">
        <v>124</v>
      </c>
      <c r="C2" s="31" t="s">
        <v>126</v>
      </c>
      <c r="D2" s="31" t="s">
        <v>125</v>
      </c>
      <c r="F2" s="31" t="s">
        <v>50</v>
      </c>
      <c r="G2" s="31" t="s">
        <v>124</v>
      </c>
      <c r="H2" s="31" t="s">
        <v>126</v>
      </c>
      <c r="I2" s="31" t="s">
        <v>125</v>
      </c>
    </row>
    <row r="3" spans="1:9" ht="28.5" x14ac:dyDescent="0.25">
      <c r="A3" s="7">
        <v>1001</v>
      </c>
      <c r="B3" s="7" t="s">
        <v>40</v>
      </c>
      <c r="C3" s="7" t="s">
        <v>69</v>
      </c>
      <c r="D3" s="175">
        <f t="shared" ref="D3:D16" si="0">IF(AND(B3="A", C3="Manager"), 150000, 65000)</f>
        <v>150000</v>
      </c>
      <c r="F3" s="7">
        <v>101</v>
      </c>
      <c r="G3" s="7" t="s">
        <v>40</v>
      </c>
      <c r="H3" s="7" t="s">
        <v>69</v>
      </c>
      <c r="I3" s="176">
        <f>IF(OR(G3="A",H3="Manager"),10000,50000)</f>
        <v>10000</v>
      </c>
    </row>
    <row r="4" spans="1:9" ht="23.25" x14ac:dyDescent="0.25">
      <c r="A4" s="7">
        <v>1002</v>
      </c>
      <c r="B4" s="7" t="s">
        <v>41</v>
      </c>
      <c r="C4" s="7" t="s">
        <v>69</v>
      </c>
      <c r="D4" s="175">
        <f t="shared" si="0"/>
        <v>65000</v>
      </c>
      <c r="F4" s="7">
        <v>102</v>
      </c>
      <c r="G4" s="7" t="s">
        <v>40</v>
      </c>
      <c r="H4" s="7" t="s">
        <v>128</v>
      </c>
      <c r="I4" s="7">
        <f>IF(OR(G4="A",H4="Manager"),10000,50000)</f>
        <v>10000</v>
      </c>
    </row>
    <row r="5" spans="1:9" ht="23.25" x14ac:dyDescent="0.25">
      <c r="A5" s="7">
        <v>1003</v>
      </c>
      <c r="B5" s="7" t="s">
        <v>40</v>
      </c>
      <c r="C5" s="7" t="s">
        <v>69</v>
      </c>
      <c r="D5" s="175">
        <f t="shared" si="0"/>
        <v>150000</v>
      </c>
      <c r="F5" s="7">
        <v>103</v>
      </c>
      <c r="G5" s="7" t="s">
        <v>41</v>
      </c>
      <c r="H5" s="7" t="s">
        <v>74</v>
      </c>
      <c r="I5" s="7">
        <f>IF(OR(G5="A",H5="Manager"),10000,50000)</f>
        <v>50000</v>
      </c>
    </row>
    <row r="6" spans="1:9" ht="23.25" x14ac:dyDescent="0.25">
      <c r="A6" s="7">
        <v>1004</v>
      </c>
      <c r="B6" s="7" t="s">
        <v>42</v>
      </c>
      <c r="C6" s="7" t="s">
        <v>69</v>
      </c>
      <c r="D6" s="175">
        <f t="shared" si="0"/>
        <v>65000</v>
      </c>
      <c r="F6" s="7">
        <v>104</v>
      </c>
      <c r="G6" s="7" t="s">
        <v>42</v>
      </c>
      <c r="H6" s="7" t="s">
        <v>73</v>
      </c>
      <c r="I6" s="7">
        <f t="shared" ref="I6:I16" si="1">IF(OR(G6="A", H6="Manager"), 100000, 50000)</f>
        <v>50000</v>
      </c>
    </row>
    <row r="7" spans="1:9" ht="23.25" x14ac:dyDescent="0.25">
      <c r="A7" s="7">
        <v>1005</v>
      </c>
      <c r="B7" s="7" t="s">
        <v>43</v>
      </c>
      <c r="C7" s="7" t="s">
        <v>69</v>
      </c>
      <c r="D7" s="175">
        <f t="shared" si="0"/>
        <v>65000</v>
      </c>
      <c r="F7" s="7">
        <v>105</v>
      </c>
      <c r="G7" s="7" t="s">
        <v>42</v>
      </c>
      <c r="H7" s="7" t="s">
        <v>129</v>
      </c>
      <c r="I7" s="7">
        <f t="shared" si="1"/>
        <v>50000</v>
      </c>
    </row>
    <row r="8" spans="1:9" ht="23.25" x14ac:dyDescent="0.25">
      <c r="A8" s="7">
        <v>1006</v>
      </c>
      <c r="B8" s="7" t="s">
        <v>40</v>
      </c>
      <c r="C8" s="7" t="s">
        <v>69</v>
      </c>
      <c r="D8" s="175">
        <f t="shared" si="0"/>
        <v>150000</v>
      </c>
      <c r="F8" s="7">
        <v>106</v>
      </c>
      <c r="G8" s="7" t="s">
        <v>41</v>
      </c>
      <c r="H8" s="7" t="s">
        <v>69</v>
      </c>
      <c r="I8" s="7">
        <f t="shared" si="1"/>
        <v>100000</v>
      </c>
    </row>
    <row r="9" spans="1:9" ht="23.25" x14ac:dyDescent="0.25">
      <c r="A9" s="7">
        <v>1007</v>
      </c>
      <c r="B9" s="7" t="s">
        <v>44</v>
      </c>
      <c r="C9" s="7" t="s">
        <v>69</v>
      </c>
      <c r="D9" s="175">
        <f t="shared" si="0"/>
        <v>65000</v>
      </c>
      <c r="F9" s="7">
        <v>107</v>
      </c>
      <c r="G9" s="7" t="s">
        <v>40</v>
      </c>
      <c r="H9" s="7" t="s">
        <v>69</v>
      </c>
      <c r="I9" s="7">
        <f t="shared" si="1"/>
        <v>100000</v>
      </c>
    </row>
    <row r="10" spans="1:9" ht="23.25" x14ac:dyDescent="0.25">
      <c r="A10" s="7">
        <v>1008</v>
      </c>
      <c r="B10" s="7" t="s">
        <v>42</v>
      </c>
      <c r="C10" s="7" t="s">
        <v>74</v>
      </c>
      <c r="D10" s="175">
        <f t="shared" si="0"/>
        <v>65000</v>
      </c>
      <c r="F10" s="7">
        <v>108</v>
      </c>
      <c r="G10" s="7" t="s">
        <v>42</v>
      </c>
      <c r="H10" s="7" t="s">
        <v>69</v>
      </c>
      <c r="I10" s="7">
        <f t="shared" si="1"/>
        <v>100000</v>
      </c>
    </row>
    <row r="11" spans="1:9" ht="23.25" x14ac:dyDescent="0.25">
      <c r="A11" s="7">
        <v>1009</v>
      </c>
      <c r="B11" s="7" t="s">
        <v>43</v>
      </c>
      <c r="C11" s="7" t="s">
        <v>74</v>
      </c>
      <c r="D11" s="175">
        <f t="shared" si="0"/>
        <v>65000</v>
      </c>
      <c r="F11" s="7">
        <v>109</v>
      </c>
      <c r="G11" s="7" t="s">
        <v>43</v>
      </c>
      <c r="H11" s="7" t="s">
        <v>130</v>
      </c>
      <c r="I11" s="7">
        <f t="shared" si="1"/>
        <v>50000</v>
      </c>
    </row>
    <row r="12" spans="1:9" ht="23.25" x14ac:dyDescent="0.25">
      <c r="A12" s="7">
        <v>1010</v>
      </c>
      <c r="B12" s="7" t="s">
        <v>44</v>
      </c>
      <c r="C12" s="7" t="s">
        <v>74</v>
      </c>
      <c r="D12" s="175">
        <f t="shared" si="0"/>
        <v>65000</v>
      </c>
      <c r="F12" s="7">
        <v>110</v>
      </c>
      <c r="G12" s="7" t="s">
        <v>40</v>
      </c>
      <c r="H12" s="7" t="s">
        <v>128</v>
      </c>
      <c r="I12" s="7">
        <f t="shared" si="1"/>
        <v>100000</v>
      </c>
    </row>
    <row r="13" spans="1:9" ht="23.25" x14ac:dyDescent="0.25">
      <c r="A13" s="7">
        <v>1011</v>
      </c>
      <c r="B13" s="7" t="s">
        <v>40</v>
      </c>
      <c r="C13" s="7" t="s">
        <v>74</v>
      </c>
      <c r="D13" s="175">
        <f t="shared" si="0"/>
        <v>65000</v>
      </c>
      <c r="F13" s="7">
        <v>111</v>
      </c>
      <c r="G13" s="7" t="s">
        <v>42</v>
      </c>
      <c r="H13" s="7" t="s">
        <v>74</v>
      </c>
      <c r="I13" s="7">
        <f t="shared" si="1"/>
        <v>50000</v>
      </c>
    </row>
    <row r="14" spans="1:9" ht="23.25" x14ac:dyDescent="0.25">
      <c r="A14" s="7">
        <v>1012</v>
      </c>
      <c r="B14" s="7" t="s">
        <v>41</v>
      </c>
      <c r="C14" s="7" t="s">
        <v>74</v>
      </c>
      <c r="D14" s="175">
        <f t="shared" si="0"/>
        <v>65000</v>
      </c>
      <c r="F14" s="7">
        <v>112</v>
      </c>
      <c r="G14" s="7" t="s">
        <v>40</v>
      </c>
      <c r="H14" s="7" t="s">
        <v>74</v>
      </c>
      <c r="I14" s="7">
        <f t="shared" si="1"/>
        <v>100000</v>
      </c>
    </row>
    <row r="15" spans="1:9" ht="23.25" x14ac:dyDescent="0.25">
      <c r="A15" s="7">
        <v>1013</v>
      </c>
      <c r="B15" s="7" t="s">
        <v>42</v>
      </c>
      <c r="C15" s="7" t="s">
        <v>74</v>
      </c>
      <c r="D15" s="175">
        <f t="shared" si="0"/>
        <v>65000</v>
      </c>
      <c r="F15" s="7">
        <v>113</v>
      </c>
      <c r="G15" s="7" t="s">
        <v>41</v>
      </c>
      <c r="H15" s="7" t="s">
        <v>129</v>
      </c>
      <c r="I15" s="7">
        <f t="shared" si="1"/>
        <v>50000</v>
      </c>
    </row>
    <row r="16" spans="1:9" ht="23.25" x14ac:dyDescent="0.25">
      <c r="A16" s="7">
        <v>1014</v>
      </c>
      <c r="B16" s="7" t="s">
        <v>41</v>
      </c>
      <c r="C16" s="7" t="s">
        <v>69</v>
      </c>
      <c r="D16" s="175">
        <f t="shared" si="0"/>
        <v>65000</v>
      </c>
      <c r="F16" s="7">
        <v>114</v>
      </c>
      <c r="G16" s="7" t="s">
        <v>42</v>
      </c>
      <c r="H16" s="7" t="s">
        <v>69</v>
      </c>
      <c r="I16" s="7">
        <f t="shared" si="1"/>
        <v>100000</v>
      </c>
    </row>
  </sheetData>
  <customSheetViews>
    <customSheetView guid="{D6BA57A5-118E-4B58-A351-7E1C36DA5B56}">
      <selection activeCell="I16" sqref="I16"/>
      <pageMargins left="0.7" right="0.7" top="0.75" bottom="0.75" header="0.3" footer="0.3"/>
    </customSheetView>
    <customSheetView guid="{05B8E57A-BB97-41F0-B6FB-606E79293C77}">
      <selection activeCell="G12" sqref="G12"/>
      <pageMargins left="0.7" right="0.7" top="0.75" bottom="0.75" header="0.3" footer="0.3"/>
    </customSheetView>
    <customSheetView guid="{3C013989-8552-4FE1-BB7E-C88994E2D13D}">
      <selection activeCell="I16" sqref="I16"/>
      <pageMargins left="0.7" right="0.7" top="0.75" bottom="0.75" header="0.3" footer="0.3"/>
    </customSheetView>
    <customSheetView guid="{75B547B5-834C-4784-8C45-4C35B93C736F}">
      <selection activeCell="I16" sqref="I16"/>
      <pageMargins left="0.7" right="0.7" top="0.75" bottom="0.75" header="0.3" footer="0.3"/>
    </customSheetView>
  </customSheetViews>
  <mergeCells count="2">
    <mergeCell ref="A1:D1"/>
    <mergeCell ref="F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25"/>
  <sheetViews>
    <sheetView workbookViewId="0">
      <selection activeCell="K12" sqref="I12:K12"/>
    </sheetView>
  </sheetViews>
  <sheetFormatPr defaultRowHeight="15" x14ac:dyDescent="0.25"/>
  <cols>
    <col min="1" max="1" width="6.85546875" customWidth="1"/>
    <col min="2" max="2" width="15.7109375" customWidth="1"/>
    <col min="3" max="3" width="14.28515625" bestFit="1" customWidth="1"/>
  </cols>
  <sheetData>
    <row r="1" spans="1:3" x14ac:dyDescent="0.25">
      <c r="A1" s="264" t="s">
        <v>250</v>
      </c>
      <c r="B1" s="264"/>
      <c r="C1" s="264"/>
    </row>
    <row r="2" spans="1:3" x14ac:dyDescent="0.25">
      <c r="A2" s="264"/>
      <c r="B2" s="264"/>
      <c r="C2" s="264"/>
    </row>
    <row r="3" spans="1:3" x14ac:dyDescent="0.25">
      <c r="A3" s="63">
        <v>1</v>
      </c>
      <c r="B3" s="63" t="s">
        <v>251</v>
      </c>
      <c r="C3" s="64">
        <v>1439323776</v>
      </c>
    </row>
    <row r="4" spans="1:3" x14ac:dyDescent="0.25">
      <c r="A4" s="63">
        <v>2</v>
      </c>
      <c r="B4" s="63" t="s">
        <v>252</v>
      </c>
      <c r="C4" s="64">
        <v>1380004385</v>
      </c>
    </row>
    <row r="5" spans="1:3" x14ac:dyDescent="0.25">
      <c r="A5" s="63">
        <v>3</v>
      </c>
      <c r="B5" s="63" t="s">
        <v>253</v>
      </c>
      <c r="C5" s="64">
        <v>331002651</v>
      </c>
    </row>
    <row r="6" spans="1:3" x14ac:dyDescent="0.25">
      <c r="A6" s="63">
        <v>4</v>
      </c>
      <c r="B6" s="63" t="s">
        <v>254</v>
      </c>
      <c r="C6" s="64">
        <v>273523615</v>
      </c>
    </row>
    <row r="7" spans="1:3" x14ac:dyDescent="0.25">
      <c r="A7" s="63">
        <v>5</v>
      </c>
      <c r="B7" s="63" t="s">
        <v>255</v>
      </c>
      <c r="C7" s="64">
        <v>220892340</v>
      </c>
    </row>
    <row r="8" spans="1:3" x14ac:dyDescent="0.25">
      <c r="A8" s="63">
        <v>6</v>
      </c>
      <c r="B8" s="63" t="s">
        <v>256</v>
      </c>
      <c r="C8" s="64">
        <v>212559417</v>
      </c>
    </row>
    <row r="25" ht="18.75" customHeight="1" x14ac:dyDescent="0.25"/>
  </sheetData>
  <customSheetViews>
    <customSheetView guid="{D6BA57A5-118E-4B58-A351-7E1C36DA5B56}">
      <selection activeCell="B3" sqref="B3:C8"/>
      <pageMargins left="0.7" right="0.7" top="0.75" bottom="0.75" header="0.3" footer="0.3"/>
    </customSheetView>
    <customSheetView guid="{05B8E57A-BB97-41F0-B6FB-606E79293C77}">
      <selection activeCell="B3" sqref="B3:C8"/>
      <pageMargins left="0.7" right="0.7" top="0.75" bottom="0.75" header="0.3" footer="0.3"/>
      <pageSetup orientation="portrait" r:id="rId1"/>
    </customSheetView>
    <customSheetView guid="{3C013989-8552-4FE1-BB7E-C88994E2D13D}">
      <pageMargins left="0.7" right="0.7" top="0.75" bottom="0.75" header="0.3" footer="0.3"/>
    </customSheetView>
    <customSheetView guid="{75B547B5-834C-4784-8C45-4C35B93C736F}">
      <pageMargins left="0.7" right="0.7" top="0.75" bottom="0.75" header="0.3" footer="0.3"/>
    </customSheetView>
  </customSheetViews>
  <mergeCells count="1">
    <mergeCell ref="A1:C2"/>
  </mergeCells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M21"/>
  <sheetViews>
    <sheetView zoomScale="85" zoomScaleNormal="85" workbookViewId="0">
      <selection activeCell="D13" sqref="D13"/>
    </sheetView>
  </sheetViews>
  <sheetFormatPr defaultRowHeight="15" x14ac:dyDescent="0.25"/>
  <cols>
    <col min="1" max="1" width="30.42578125" customWidth="1"/>
    <col min="2" max="2" width="28.140625" bestFit="1" customWidth="1"/>
    <col min="3" max="3" width="14.140625" customWidth="1"/>
    <col min="4" max="4" width="27.28515625" bestFit="1" customWidth="1"/>
    <col min="5" max="5" width="13.5703125" bestFit="1" customWidth="1"/>
    <col min="6" max="6" width="28" bestFit="1" customWidth="1"/>
    <col min="7" max="7" width="12.85546875" bestFit="1" customWidth="1"/>
    <col min="8" max="8" width="5.5703125" customWidth="1"/>
    <col min="9" max="9" width="1.42578125" customWidth="1"/>
    <col min="10" max="10" width="0.28515625" customWidth="1"/>
    <col min="11" max="11" width="13.85546875" customWidth="1"/>
  </cols>
  <sheetData>
    <row r="1" spans="1:13" ht="30" x14ac:dyDescent="0.25">
      <c r="A1" s="57" t="s">
        <v>45</v>
      </c>
      <c r="B1" s="57" t="s">
        <v>236</v>
      </c>
      <c r="C1" s="57" t="s">
        <v>238</v>
      </c>
      <c r="D1" s="57" t="s">
        <v>237</v>
      </c>
      <c r="E1" s="76" t="s">
        <v>338</v>
      </c>
      <c r="F1" s="76" t="s">
        <v>339</v>
      </c>
      <c r="G1" s="57" t="s">
        <v>239</v>
      </c>
      <c r="K1" s="73" t="s">
        <v>336</v>
      </c>
      <c r="L1" s="75" t="s">
        <v>237</v>
      </c>
      <c r="M1" s="75" t="s">
        <v>337</v>
      </c>
    </row>
    <row r="2" spans="1:13" ht="21" x14ac:dyDescent="0.25">
      <c r="A2" s="10">
        <v>42227</v>
      </c>
      <c r="B2" s="7" t="s">
        <v>203</v>
      </c>
      <c r="C2" s="7" t="s">
        <v>333</v>
      </c>
      <c r="D2" s="145">
        <f>IFERROR(VLOOKUP($C$2,$K$2:$L$4,2,0),"")</f>
        <v>440000</v>
      </c>
      <c r="E2" s="145">
        <f>IFERROR(D2*7%,"")</f>
        <v>30800.000000000004</v>
      </c>
      <c r="F2" s="145">
        <f>IFERROR(VLOOKUP(C2,$K$2:$M$4,3,0),"")</f>
        <v>1800</v>
      </c>
      <c r="G2" s="145">
        <f>IFERROR(E2+F2,"")</f>
        <v>32600.000000000004</v>
      </c>
      <c r="K2" s="74" t="s">
        <v>333</v>
      </c>
      <c r="L2" s="2">
        <v>440000</v>
      </c>
      <c r="M2" s="2">
        <v>1800</v>
      </c>
    </row>
    <row r="3" spans="1:13" x14ac:dyDescent="0.25">
      <c r="A3" s="10">
        <v>42228</v>
      </c>
      <c r="B3" s="7" t="s">
        <v>204</v>
      </c>
      <c r="C3" s="7" t="s">
        <v>334</v>
      </c>
      <c r="D3" s="7">
        <f t="shared" ref="D3:D13" si="0">IFERROR(VLOOKUP(C3,$K$2:$L$4,2,0),"")</f>
        <v>350000</v>
      </c>
      <c r="E3" s="7">
        <f t="shared" ref="E3:E13" si="1">IFERROR(D3*7%,"")</f>
        <v>24500.000000000004</v>
      </c>
      <c r="F3" s="7">
        <f t="shared" ref="F3:F13" si="2">IFERROR(VLOOKUP(C3,$K$2:$M$4,3,0),"")</f>
        <v>1200</v>
      </c>
      <c r="G3" s="7">
        <f t="shared" ref="G3:G13" si="3">IFERROR(E3+F3,"")</f>
        <v>25700.000000000004</v>
      </c>
      <c r="K3" s="74" t="s">
        <v>334</v>
      </c>
      <c r="L3" s="2">
        <v>350000</v>
      </c>
      <c r="M3" s="2">
        <v>1200</v>
      </c>
    </row>
    <row r="4" spans="1:13" x14ac:dyDescent="0.25">
      <c r="A4" s="10">
        <v>42229</v>
      </c>
      <c r="B4" s="7" t="s">
        <v>240</v>
      </c>
      <c r="C4" s="7" t="s">
        <v>334</v>
      </c>
      <c r="D4" s="7">
        <f t="shared" si="0"/>
        <v>350000</v>
      </c>
      <c r="E4" s="7">
        <f t="shared" si="1"/>
        <v>24500.000000000004</v>
      </c>
      <c r="F4" s="7">
        <f t="shared" si="2"/>
        <v>1200</v>
      </c>
      <c r="G4" s="7">
        <f t="shared" si="3"/>
        <v>25700.000000000004</v>
      </c>
      <c r="K4" s="74" t="s">
        <v>335</v>
      </c>
      <c r="L4" s="2">
        <v>45000</v>
      </c>
      <c r="M4" s="2">
        <v>800</v>
      </c>
    </row>
    <row r="5" spans="1:13" x14ac:dyDescent="0.25">
      <c r="A5" s="10">
        <v>42230</v>
      </c>
      <c r="B5" s="7" t="s">
        <v>240</v>
      </c>
      <c r="C5" s="7" t="s">
        <v>333</v>
      </c>
      <c r="D5" s="7">
        <f t="shared" si="0"/>
        <v>440000</v>
      </c>
      <c r="E5" s="7">
        <f t="shared" si="1"/>
        <v>30800.000000000004</v>
      </c>
      <c r="F5" s="7">
        <f t="shared" si="2"/>
        <v>1800</v>
      </c>
      <c r="G5" s="7">
        <f t="shared" si="3"/>
        <v>32600.000000000004</v>
      </c>
    </row>
    <row r="6" spans="1:13" x14ac:dyDescent="0.25">
      <c r="A6" s="10">
        <v>42231</v>
      </c>
      <c r="B6" s="7" t="s">
        <v>240</v>
      </c>
      <c r="C6" s="7" t="s">
        <v>334</v>
      </c>
      <c r="D6" s="7">
        <f t="shared" si="0"/>
        <v>350000</v>
      </c>
      <c r="E6" s="7">
        <f t="shared" si="1"/>
        <v>24500.000000000004</v>
      </c>
      <c r="F6" s="7">
        <f t="shared" si="2"/>
        <v>1200</v>
      </c>
      <c r="G6" s="7">
        <f t="shared" si="3"/>
        <v>25700.000000000004</v>
      </c>
    </row>
    <row r="7" spans="1:13" x14ac:dyDescent="0.25">
      <c r="A7" s="10">
        <v>42232</v>
      </c>
      <c r="B7" s="7" t="s">
        <v>240</v>
      </c>
      <c r="C7" s="7" t="s">
        <v>333</v>
      </c>
      <c r="D7" s="7">
        <f t="shared" si="0"/>
        <v>440000</v>
      </c>
      <c r="E7" s="7">
        <f t="shared" si="1"/>
        <v>30800.000000000004</v>
      </c>
      <c r="F7" s="7">
        <f t="shared" si="2"/>
        <v>1800</v>
      </c>
      <c r="G7" s="7">
        <f t="shared" si="3"/>
        <v>32600.000000000004</v>
      </c>
    </row>
    <row r="8" spans="1:13" x14ac:dyDescent="0.25">
      <c r="A8" s="10">
        <v>42233</v>
      </c>
      <c r="B8" s="7" t="s">
        <v>203</v>
      </c>
      <c r="C8" s="7" t="s">
        <v>335</v>
      </c>
      <c r="D8" s="7">
        <f t="shared" si="0"/>
        <v>45000</v>
      </c>
      <c r="E8" s="7">
        <f t="shared" si="1"/>
        <v>3150.0000000000005</v>
      </c>
      <c r="F8" s="7">
        <f t="shared" si="2"/>
        <v>800</v>
      </c>
      <c r="G8" s="7">
        <f t="shared" si="3"/>
        <v>3950.0000000000005</v>
      </c>
    </row>
    <row r="9" spans="1:13" x14ac:dyDescent="0.25">
      <c r="A9" s="10">
        <v>42234</v>
      </c>
      <c r="B9" s="7" t="s">
        <v>240</v>
      </c>
      <c r="C9" s="7" t="s">
        <v>334</v>
      </c>
      <c r="D9" s="7">
        <f t="shared" si="0"/>
        <v>350000</v>
      </c>
      <c r="E9" s="7">
        <f t="shared" si="1"/>
        <v>24500.000000000004</v>
      </c>
      <c r="F9" s="7">
        <f t="shared" si="2"/>
        <v>1200</v>
      </c>
      <c r="G9" s="7">
        <f t="shared" si="3"/>
        <v>25700.000000000004</v>
      </c>
    </row>
    <row r="10" spans="1:13" x14ac:dyDescent="0.25">
      <c r="A10" s="10">
        <v>42235</v>
      </c>
      <c r="B10" s="7" t="s">
        <v>203</v>
      </c>
      <c r="C10" s="7"/>
      <c r="D10" s="7" t="str">
        <f t="shared" si="0"/>
        <v/>
      </c>
      <c r="E10" s="7" t="str">
        <f t="shared" si="1"/>
        <v/>
      </c>
      <c r="F10" s="7" t="str">
        <f t="shared" si="2"/>
        <v/>
      </c>
      <c r="G10" s="7" t="str">
        <f t="shared" si="3"/>
        <v/>
      </c>
    </row>
    <row r="11" spans="1:13" x14ac:dyDescent="0.25">
      <c r="A11" s="10">
        <v>42236</v>
      </c>
      <c r="B11" s="7" t="s">
        <v>203</v>
      </c>
      <c r="C11" s="7"/>
      <c r="D11" s="7" t="str">
        <f t="shared" si="0"/>
        <v/>
      </c>
      <c r="E11" s="7" t="str">
        <f t="shared" si="1"/>
        <v/>
      </c>
      <c r="F11" s="7" t="str">
        <f t="shared" si="2"/>
        <v/>
      </c>
      <c r="G11" s="7" t="str">
        <f t="shared" si="3"/>
        <v/>
      </c>
    </row>
    <row r="12" spans="1:13" x14ac:dyDescent="0.25">
      <c r="A12" s="10">
        <v>42237</v>
      </c>
      <c r="B12" s="7" t="s">
        <v>203</v>
      </c>
      <c r="C12" s="7"/>
      <c r="D12" s="7" t="str">
        <f t="shared" si="0"/>
        <v/>
      </c>
      <c r="E12" s="7" t="str">
        <f t="shared" si="1"/>
        <v/>
      </c>
      <c r="F12" s="7" t="str">
        <f t="shared" si="2"/>
        <v/>
      </c>
      <c r="G12" s="7" t="str">
        <f t="shared" si="3"/>
        <v/>
      </c>
    </row>
    <row r="13" spans="1:13" x14ac:dyDescent="0.25">
      <c r="A13" s="10">
        <v>42238</v>
      </c>
      <c r="B13" s="7" t="s">
        <v>204</v>
      </c>
      <c r="C13" s="7"/>
      <c r="D13" s="7" t="str">
        <f t="shared" si="0"/>
        <v/>
      </c>
      <c r="E13" s="7" t="str">
        <f t="shared" si="1"/>
        <v/>
      </c>
      <c r="F13" s="7" t="str">
        <f t="shared" si="2"/>
        <v/>
      </c>
      <c r="G13" s="7" t="str">
        <f t="shared" si="3"/>
        <v/>
      </c>
    </row>
    <row r="14" spans="1:13" x14ac:dyDescent="0.25">
      <c r="A14" s="10">
        <v>42239</v>
      </c>
      <c r="B14" s="7" t="s">
        <v>204</v>
      </c>
      <c r="C14" s="7" t="s">
        <v>335</v>
      </c>
      <c r="D14" s="7">
        <f t="shared" ref="D14" si="4">IFERROR(VLOOKUP(C14, $K$2:$M$4, 2, 0), " ")</f>
        <v>45000</v>
      </c>
      <c r="E14" s="7">
        <f t="shared" ref="E14" si="5">IFERROR(D14*7%, " ")</f>
        <v>3150.0000000000005</v>
      </c>
      <c r="F14" s="7">
        <f t="shared" ref="F14" si="6">IFERROR(VLOOKUP(C14, $K$2:$M$4, 3, 0), " ")</f>
        <v>800</v>
      </c>
      <c r="G14" s="7">
        <f t="shared" ref="G14" si="7">IFERROR(E14+F14, " ")</f>
        <v>3950.0000000000005</v>
      </c>
    </row>
    <row r="18" spans="1:2" x14ac:dyDescent="0.25">
      <c r="A18" s="58" t="s">
        <v>241</v>
      </c>
      <c r="B18" s="58" t="s">
        <v>242</v>
      </c>
    </row>
    <row r="19" spans="1:2" ht="26.25" x14ac:dyDescent="0.25">
      <c r="A19" s="146" t="s">
        <v>203</v>
      </c>
      <c r="B19" s="146">
        <f>SUMIF(B2:B14,"Mehak",F2:F14)</f>
        <v>2600</v>
      </c>
    </row>
    <row r="20" spans="1:2" ht="26.25" x14ac:dyDescent="0.25">
      <c r="A20" s="146" t="s">
        <v>240</v>
      </c>
      <c r="B20" s="146">
        <f>SUMIF(B3:B15,"Sadia",F3:F15)</f>
        <v>7200</v>
      </c>
    </row>
    <row r="21" spans="1:2" ht="26.25" x14ac:dyDescent="0.25">
      <c r="A21" s="146" t="s">
        <v>204</v>
      </c>
      <c r="B21" s="146">
        <f>SUMIF(B4:B16,"Iqra",F4:F16)</f>
        <v>800</v>
      </c>
    </row>
  </sheetData>
  <customSheetViews>
    <customSheetView guid="{D6BA57A5-118E-4B58-A351-7E1C36DA5B56}">
      <selection activeCell="F14" sqref="F14"/>
      <pageMargins left="0.7" right="0.7" top="0.75" bottom="0.75" header="0.3" footer="0.3"/>
      <pageSetup orientation="portrait" horizontalDpi="300" verticalDpi="300" r:id="rId1"/>
    </customSheetView>
    <customSheetView guid="{05B8E57A-BB97-41F0-B6FB-606E79293C77}">
      <selection activeCell="C6" sqref="C6"/>
      <pageMargins left="0.7" right="0.7" top="0.75" bottom="0.75" header="0.3" footer="0.3"/>
      <pageSetup orientation="portrait" horizontalDpi="300" verticalDpi="300" r:id="rId2"/>
    </customSheetView>
    <customSheetView guid="{3C013989-8552-4FE1-BB7E-C88994E2D13D}">
      <selection activeCell="F14" sqref="F14"/>
      <pageMargins left="0.7" right="0.7" top="0.75" bottom="0.75" header="0.3" footer="0.3"/>
      <pageSetup orientation="portrait" horizontalDpi="300" verticalDpi="300" r:id="rId3"/>
    </customSheetView>
    <customSheetView guid="{75B547B5-834C-4784-8C45-4C35B93C736F}">
      <selection activeCell="F14" sqref="F14"/>
      <pageMargins left="0.7" right="0.7" top="0.75" bottom="0.75" header="0.3" footer="0.3"/>
      <pageSetup orientation="portrait" horizontalDpi="300" verticalDpi="300" r:id="rId4"/>
    </customSheetView>
  </customSheetViews>
  <dataValidations count="1">
    <dataValidation type="list" allowBlank="1" showInputMessage="1" showErrorMessage="1" sqref="C2:C14" xr:uid="{00000000-0002-0000-0F00-000000000000}">
      <formula1>$K$2:$K$4</formula1>
    </dataValidation>
  </dataValidations>
  <pageMargins left="0.7" right="0.7" top="0.75" bottom="0.75" header="0.3" footer="0.3"/>
  <pageSetup orientation="portrait" horizontalDpi="300" verticalDpi="300"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19"/>
  <sheetViews>
    <sheetView workbookViewId="0">
      <selection activeCell="A4" sqref="A4:XFD4"/>
    </sheetView>
  </sheetViews>
  <sheetFormatPr defaultRowHeight="15" x14ac:dyDescent="0.25"/>
  <cols>
    <col min="1" max="1" width="18.140625" customWidth="1"/>
    <col min="2" max="2" width="21.7109375" customWidth="1"/>
  </cols>
  <sheetData>
    <row r="1" spans="1:2" x14ac:dyDescent="0.25">
      <c r="A1" s="264" t="s">
        <v>194</v>
      </c>
      <c r="B1" s="264"/>
    </row>
    <row r="2" spans="1:2" x14ac:dyDescent="0.25">
      <c r="A2" s="65" t="s">
        <v>193</v>
      </c>
      <c r="B2" s="65" t="s">
        <v>34</v>
      </c>
    </row>
    <row r="3" spans="1:2" x14ac:dyDescent="0.25">
      <c r="A3" s="7" t="s">
        <v>257</v>
      </c>
      <c r="B3" s="66">
        <v>65000</v>
      </c>
    </row>
    <row r="4" spans="1:2" x14ac:dyDescent="0.25">
      <c r="A4" s="7" t="s">
        <v>258</v>
      </c>
      <c r="B4" s="66">
        <v>66000</v>
      </c>
    </row>
    <row r="5" spans="1:2" x14ac:dyDescent="0.25">
      <c r="A5" s="7" t="s">
        <v>259</v>
      </c>
      <c r="B5" s="66">
        <v>67000</v>
      </c>
    </row>
    <row r="6" spans="1:2" x14ac:dyDescent="0.25">
      <c r="A6" s="7" t="s">
        <v>260</v>
      </c>
      <c r="B6" s="66">
        <v>68000</v>
      </c>
    </row>
    <row r="7" spans="1:2" x14ac:dyDescent="0.25">
      <c r="A7" s="7" t="s">
        <v>261</v>
      </c>
      <c r="B7" s="66">
        <v>69000</v>
      </c>
    </row>
    <row r="8" spans="1:2" x14ac:dyDescent="0.25">
      <c r="A8" s="7" t="s">
        <v>262</v>
      </c>
      <c r="B8" s="66">
        <v>70000</v>
      </c>
    </row>
    <row r="9" spans="1:2" x14ac:dyDescent="0.25">
      <c r="A9" s="7" t="s">
        <v>263</v>
      </c>
      <c r="B9" s="66">
        <v>71000</v>
      </c>
    </row>
    <row r="10" spans="1:2" x14ac:dyDescent="0.25">
      <c r="A10" s="7" t="s">
        <v>264</v>
      </c>
      <c r="B10" s="66">
        <v>72000</v>
      </c>
    </row>
    <row r="11" spans="1:2" x14ac:dyDescent="0.25">
      <c r="A11" s="7" t="s">
        <v>265</v>
      </c>
      <c r="B11" s="66">
        <v>73000</v>
      </c>
    </row>
    <row r="12" spans="1:2" x14ac:dyDescent="0.25">
      <c r="A12" s="7" t="s">
        <v>266</v>
      </c>
      <c r="B12" s="66">
        <v>74000</v>
      </c>
    </row>
    <row r="13" spans="1:2" x14ac:dyDescent="0.25">
      <c r="A13" s="7" t="s">
        <v>267</v>
      </c>
      <c r="B13" s="66">
        <v>75000</v>
      </c>
    </row>
    <row r="14" spans="1:2" x14ac:dyDescent="0.25">
      <c r="A14" s="7" t="s">
        <v>268</v>
      </c>
      <c r="B14" s="66">
        <v>76000</v>
      </c>
    </row>
    <row r="15" spans="1:2" x14ac:dyDescent="0.25">
      <c r="A15" s="7" t="s">
        <v>269</v>
      </c>
      <c r="B15" s="66">
        <v>77000</v>
      </c>
    </row>
    <row r="16" spans="1:2" x14ac:dyDescent="0.25">
      <c r="A16" s="7" t="s">
        <v>270</v>
      </c>
      <c r="B16" s="66">
        <v>78000</v>
      </c>
    </row>
    <row r="17" spans="1:2" x14ac:dyDescent="0.25">
      <c r="A17" s="7" t="s">
        <v>271</v>
      </c>
      <c r="B17" s="66">
        <v>79000</v>
      </c>
    </row>
    <row r="18" spans="1:2" x14ac:dyDescent="0.25">
      <c r="A18" s="7" t="s">
        <v>272</v>
      </c>
      <c r="B18" s="66">
        <v>80000</v>
      </c>
    </row>
    <row r="19" spans="1:2" x14ac:dyDescent="0.25">
      <c r="A19" s="7" t="s">
        <v>273</v>
      </c>
      <c r="B19" s="66">
        <v>81000</v>
      </c>
    </row>
  </sheetData>
  <customSheetViews>
    <customSheetView guid="{D6BA57A5-118E-4B58-A351-7E1C36DA5B56}">
      <selection activeCell="I27" sqref="I27"/>
      <pageMargins left="0.7" right="0.7" top="0.75" bottom="0.75" header="0.3" footer="0.3"/>
    </customSheetView>
    <customSheetView guid="{05B8E57A-BB97-41F0-B6FB-606E79293C77}">
      <selection activeCell="D12" sqref="D12"/>
      <pageMargins left="0.7" right="0.7" top="0.75" bottom="0.75" header="0.3" footer="0.3"/>
    </customSheetView>
    <customSheetView guid="{3C013989-8552-4FE1-BB7E-C88994E2D13D}">
      <selection activeCell="I27" sqref="I27"/>
      <pageMargins left="0.7" right="0.7" top="0.75" bottom="0.75" header="0.3" footer="0.3"/>
    </customSheetView>
    <customSheetView guid="{75B547B5-834C-4784-8C45-4C35B93C736F}">
      <selection activeCell="I27" sqref="I27"/>
      <pageMargins left="0.7" right="0.7" top="0.75" bottom="0.75" header="0.3" footer="0.3"/>
    </customSheetView>
  </customSheetViews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K216"/>
  <sheetViews>
    <sheetView workbookViewId="0">
      <selection activeCell="F24" sqref="F24"/>
    </sheetView>
  </sheetViews>
  <sheetFormatPr defaultRowHeight="15" x14ac:dyDescent="0.25"/>
  <cols>
    <col min="1" max="1" width="17.7109375" customWidth="1"/>
    <col min="2" max="2" width="18.28515625" customWidth="1"/>
    <col min="7" max="7" width="13.7109375" customWidth="1"/>
    <col min="8" max="8" width="12.42578125" customWidth="1"/>
    <col min="10" max="10" width="17.28515625" customWidth="1"/>
    <col min="11" max="11" width="19.85546875" customWidth="1"/>
  </cols>
  <sheetData>
    <row r="1" spans="1:11" x14ac:dyDescent="0.25">
      <c r="A1" s="29" t="s">
        <v>191</v>
      </c>
      <c r="B1" s="29" t="s">
        <v>192</v>
      </c>
      <c r="G1" s="33" t="s">
        <v>208</v>
      </c>
      <c r="H1" s="33" t="s">
        <v>34</v>
      </c>
      <c r="J1" s="41" t="s">
        <v>209</v>
      </c>
      <c r="K1" s="41">
        <f>SUMIF($G$2:$G$216, "Mouse", $H$2:$H$216)</f>
        <v>1300</v>
      </c>
    </row>
    <row r="2" spans="1:11" x14ac:dyDescent="0.25">
      <c r="A2" s="7" t="s">
        <v>203</v>
      </c>
      <c r="B2" s="7">
        <v>400</v>
      </c>
      <c r="G2" s="2" t="s">
        <v>209</v>
      </c>
      <c r="H2" s="2">
        <v>250</v>
      </c>
      <c r="J2" s="41" t="s">
        <v>212</v>
      </c>
      <c r="K2" s="41">
        <f>SUMIF($G$2:$G$216, "keyboard", $H$2:$H$216)</f>
        <v>1100</v>
      </c>
    </row>
    <row r="3" spans="1:11" x14ac:dyDescent="0.25">
      <c r="A3" s="7" t="s">
        <v>204</v>
      </c>
      <c r="B3" s="7">
        <v>400</v>
      </c>
      <c r="G3" s="2" t="s">
        <v>210</v>
      </c>
      <c r="H3" s="2">
        <v>300</v>
      </c>
      <c r="J3" s="41" t="s">
        <v>211</v>
      </c>
      <c r="K3" s="41">
        <f>SUMIF($G$2:$G$216, "Monitor", $H$2:$H$216)</f>
        <v>2500</v>
      </c>
    </row>
    <row r="4" spans="1:11" x14ac:dyDescent="0.25">
      <c r="A4" s="7" t="s">
        <v>205</v>
      </c>
      <c r="B4" s="7">
        <v>400</v>
      </c>
      <c r="G4" s="2" t="s">
        <v>211</v>
      </c>
      <c r="H4" s="2">
        <v>2500</v>
      </c>
    </row>
    <row r="5" spans="1:11" x14ac:dyDescent="0.25">
      <c r="A5" s="7" t="s">
        <v>206</v>
      </c>
      <c r="B5" s="7">
        <v>400</v>
      </c>
      <c r="G5" s="2" t="s">
        <v>209</v>
      </c>
      <c r="H5" s="2">
        <v>300</v>
      </c>
    </row>
    <row r="6" spans="1:11" x14ac:dyDescent="0.25">
      <c r="A6" s="7" t="s">
        <v>205</v>
      </c>
      <c r="B6" s="7">
        <v>400</v>
      </c>
      <c r="G6" s="2" t="s">
        <v>210</v>
      </c>
      <c r="H6" s="2">
        <v>400</v>
      </c>
    </row>
    <row r="7" spans="1:11" x14ac:dyDescent="0.25">
      <c r="A7" s="7" t="s">
        <v>205</v>
      </c>
      <c r="B7" s="7">
        <v>400</v>
      </c>
      <c r="G7" s="2" t="s">
        <v>209</v>
      </c>
      <c r="H7" s="2">
        <v>350</v>
      </c>
    </row>
    <row r="8" spans="1:11" x14ac:dyDescent="0.25">
      <c r="A8" s="7" t="s">
        <v>206</v>
      </c>
      <c r="B8" s="7">
        <v>400</v>
      </c>
      <c r="G8" s="2" t="s">
        <v>209</v>
      </c>
      <c r="H8" s="2">
        <v>400</v>
      </c>
    </row>
    <row r="9" spans="1:11" x14ac:dyDescent="0.25">
      <c r="A9" s="7" t="s">
        <v>204</v>
      </c>
      <c r="B9" s="7">
        <v>400</v>
      </c>
      <c r="G9" s="2" t="s">
        <v>210</v>
      </c>
      <c r="H9" s="2">
        <v>400</v>
      </c>
    </row>
    <row r="10" spans="1:11" x14ac:dyDescent="0.25">
      <c r="A10" s="7" t="s">
        <v>204</v>
      </c>
      <c r="B10" s="7">
        <v>400</v>
      </c>
      <c r="G10" s="2"/>
      <c r="H10" s="2"/>
    </row>
    <row r="11" spans="1:11" x14ac:dyDescent="0.25">
      <c r="A11" s="7" t="s">
        <v>203</v>
      </c>
      <c r="B11" s="7">
        <v>400</v>
      </c>
      <c r="G11" s="2"/>
      <c r="H11" s="2"/>
    </row>
    <row r="12" spans="1:11" x14ac:dyDescent="0.25">
      <c r="A12" s="7" t="s">
        <v>203</v>
      </c>
      <c r="B12" s="7">
        <v>400</v>
      </c>
      <c r="G12" s="2"/>
      <c r="H12" s="2"/>
    </row>
    <row r="13" spans="1:11" x14ac:dyDescent="0.25">
      <c r="A13" s="7" t="s">
        <v>204</v>
      </c>
      <c r="B13" s="7">
        <v>400</v>
      </c>
      <c r="G13" s="2"/>
      <c r="H13" s="2"/>
    </row>
    <row r="14" spans="1:11" x14ac:dyDescent="0.25">
      <c r="A14" s="7" t="s">
        <v>206</v>
      </c>
      <c r="B14" s="7">
        <v>400</v>
      </c>
      <c r="G14" s="2"/>
      <c r="H14" s="2"/>
    </row>
    <row r="15" spans="1:11" x14ac:dyDescent="0.25">
      <c r="A15" s="7" t="s">
        <v>205</v>
      </c>
      <c r="B15" s="7">
        <v>400</v>
      </c>
      <c r="G15" s="2"/>
      <c r="H15" s="2"/>
    </row>
    <row r="16" spans="1:11" x14ac:dyDescent="0.25">
      <c r="A16" s="7" t="s">
        <v>203</v>
      </c>
      <c r="B16" s="7">
        <v>400</v>
      </c>
      <c r="G16" s="2"/>
      <c r="H16" s="2"/>
    </row>
    <row r="17" spans="1:8" x14ac:dyDescent="0.25">
      <c r="A17" s="7" t="s">
        <v>204</v>
      </c>
      <c r="B17" s="7">
        <v>400</v>
      </c>
      <c r="G17" s="2"/>
      <c r="H17" s="2"/>
    </row>
    <row r="18" spans="1:8" x14ac:dyDescent="0.25">
      <c r="A18" s="7"/>
      <c r="B18" s="7"/>
      <c r="G18" s="2"/>
      <c r="H18" s="2"/>
    </row>
    <row r="19" spans="1:8" x14ac:dyDescent="0.25">
      <c r="A19" s="7"/>
      <c r="B19" s="7"/>
      <c r="G19" s="2"/>
      <c r="H19" s="2"/>
    </row>
    <row r="20" spans="1:8" x14ac:dyDescent="0.25">
      <c r="A20" s="41"/>
      <c r="B20" s="41"/>
      <c r="G20" s="2"/>
      <c r="H20" s="2"/>
    </row>
    <row r="21" spans="1:8" x14ac:dyDescent="0.25">
      <c r="A21" s="29" t="s">
        <v>203</v>
      </c>
      <c r="B21" s="42">
        <f>SUMIF(A2:A20, "Mehak", B2:B20)</f>
        <v>1600</v>
      </c>
      <c r="G21" s="2"/>
      <c r="H21" s="2"/>
    </row>
    <row r="22" spans="1:8" x14ac:dyDescent="0.25">
      <c r="A22" s="29" t="s">
        <v>204</v>
      </c>
      <c r="B22" s="42">
        <f>SUMIF(A2:A20, "Iqra", B2:B20)</f>
        <v>2000</v>
      </c>
      <c r="G22" s="2"/>
      <c r="H22" s="2"/>
    </row>
    <row r="23" spans="1:8" x14ac:dyDescent="0.25">
      <c r="A23" s="29" t="s">
        <v>205</v>
      </c>
      <c r="B23" s="42">
        <f>SUMIF(A2:A20, "nabeela", B2:B20)</f>
        <v>1600</v>
      </c>
      <c r="G23" s="2"/>
      <c r="H23" s="2"/>
    </row>
    <row r="24" spans="1:8" x14ac:dyDescent="0.25">
      <c r="A24" s="29" t="s">
        <v>207</v>
      </c>
      <c r="B24" s="42">
        <f>SUMIF(A2:A20, "Shumaila", B2:B20)</f>
        <v>1200</v>
      </c>
      <c r="G24" s="2"/>
      <c r="H24" s="2"/>
    </row>
    <row r="25" spans="1:8" x14ac:dyDescent="0.25">
      <c r="A25" s="29"/>
      <c r="B25" s="42"/>
      <c r="G25" s="2"/>
      <c r="H25" s="2"/>
    </row>
    <row r="26" spans="1:8" x14ac:dyDescent="0.25">
      <c r="A26" s="29"/>
      <c r="B26" s="42"/>
      <c r="G26" s="2"/>
      <c r="H26" s="2"/>
    </row>
    <row r="27" spans="1:8" x14ac:dyDescent="0.25">
      <c r="G27" s="2"/>
      <c r="H27" s="2"/>
    </row>
    <row r="28" spans="1:8" x14ac:dyDescent="0.25">
      <c r="G28" s="2"/>
      <c r="H28" s="2"/>
    </row>
    <row r="29" spans="1:8" x14ac:dyDescent="0.25">
      <c r="G29" s="2"/>
      <c r="H29" s="2"/>
    </row>
    <row r="30" spans="1:8" x14ac:dyDescent="0.25">
      <c r="G30" s="2"/>
      <c r="H30" s="2"/>
    </row>
    <row r="31" spans="1:8" x14ac:dyDescent="0.25">
      <c r="G31" s="2"/>
      <c r="H31" s="2"/>
    </row>
    <row r="32" spans="1:8" x14ac:dyDescent="0.25">
      <c r="G32" s="2"/>
      <c r="H32" s="2"/>
    </row>
    <row r="33" spans="7:8" x14ac:dyDescent="0.25">
      <c r="G33" s="2"/>
      <c r="H33" s="2"/>
    </row>
    <row r="34" spans="7:8" x14ac:dyDescent="0.25">
      <c r="G34" s="2"/>
      <c r="H34" s="2"/>
    </row>
    <row r="35" spans="7:8" x14ac:dyDescent="0.25">
      <c r="G35" s="2"/>
      <c r="H35" s="2"/>
    </row>
    <row r="36" spans="7:8" x14ac:dyDescent="0.25">
      <c r="G36" s="2"/>
      <c r="H36" s="2"/>
    </row>
    <row r="37" spans="7:8" x14ac:dyDescent="0.25">
      <c r="G37" s="2"/>
      <c r="H37" s="2"/>
    </row>
    <row r="38" spans="7:8" x14ac:dyDescent="0.25">
      <c r="G38" s="2"/>
      <c r="H38" s="2"/>
    </row>
    <row r="39" spans="7:8" x14ac:dyDescent="0.25">
      <c r="G39" s="2"/>
      <c r="H39" s="2"/>
    </row>
    <row r="40" spans="7:8" x14ac:dyDescent="0.25">
      <c r="G40" s="2"/>
      <c r="H40" s="2"/>
    </row>
    <row r="41" spans="7:8" x14ac:dyDescent="0.25">
      <c r="G41" s="2"/>
      <c r="H41" s="2"/>
    </row>
    <row r="42" spans="7:8" x14ac:dyDescent="0.25">
      <c r="G42" s="2"/>
      <c r="H42" s="2"/>
    </row>
    <row r="43" spans="7:8" x14ac:dyDescent="0.25">
      <c r="G43" s="2"/>
      <c r="H43" s="2"/>
    </row>
    <row r="44" spans="7:8" x14ac:dyDescent="0.25">
      <c r="G44" s="2"/>
      <c r="H44" s="2"/>
    </row>
    <row r="45" spans="7:8" x14ac:dyDescent="0.25">
      <c r="G45" s="2"/>
      <c r="H45" s="2"/>
    </row>
    <row r="46" spans="7:8" x14ac:dyDescent="0.25">
      <c r="G46" s="2"/>
      <c r="H46" s="2"/>
    </row>
    <row r="47" spans="7:8" x14ac:dyDescent="0.25">
      <c r="G47" s="2"/>
      <c r="H47" s="2"/>
    </row>
    <row r="48" spans="7:8" x14ac:dyDescent="0.25">
      <c r="G48" s="2"/>
      <c r="H48" s="2"/>
    </row>
    <row r="49" spans="7:8" x14ac:dyDescent="0.25">
      <c r="G49" s="2"/>
      <c r="H49" s="2"/>
    </row>
    <row r="50" spans="7:8" x14ac:dyDescent="0.25">
      <c r="G50" s="2"/>
      <c r="H50" s="2"/>
    </row>
    <row r="51" spans="7:8" x14ac:dyDescent="0.25">
      <c r="G51" s="2"/>
      <c r="H51" s="2"/>
    </row>
    <row r="52" spans="7:8" x14ac:dyDescent="0.25">
      <c r="G52" s="2"/>
      <c r="H52" s="2"/>
    </row>
    <row r="53" spans="7:8" x14ac:dyDescent="0.25">
      <c r="G53" s="2"/>
      <c r="H53" s="2"/>
    </row>
    <row r="54" spans="7:8" x14ac:dyDescent="0.25">
      <c r="G54" s="2"/>
      <c r="H54" s="2"/>
    </row>
    <row r="55" spans="7:8" x14ac:dyDescent="0.25">
      <c r="G55" s="2"/>
      <c r="H55" s="2"/>
    </row>
    <row r="56" spans="7:8" x14ac:dyDescent="0.25">
      <c r="G56" s="2"/>
      <c r="H56" s="2"/>
    </row>
    <row r="57" spans="7:8" x14ac:dyDescent="0.25">
      <c r="G57" s="2"/>
      <c r="H57" s="2"/>
    </row>
    <row r="58" spans="7:8" x14ac:dyDescent="0.25">
      <c r="G58" s="2"/>
      <c r="H58" s="2"/>
    </row>
    <row r="59" spans="7:8" x14ac:dyDescent="0.25">
      <c r="G59" s="2"/>
      <c r="H59" s="2"/>
    </row>
    <row r="60" spans="7:8" x14ac:dyDescent="0.25">
      <c r="G60" s="2"/>
      <c r="H60" s="2"/>
    </row>
    <row r="61" spans="7:8" x14ac:dyDescent="0.25">
      <c r="G61" s="2"/>
      <c r="H61" s="2"/>
    </row>
    <row r="62" spans="7:8" x14ac:dyDescent="0.25">
      <c r="G62" s="2"/>
      <c r="H62" s="2"/>
    </row>
    <row r="63" spans="7:8" x14ac:dyDescent="0.25">
      <c r="G63" s="2"/>
      <c r="H63" s="2"/>
    </row>
    <row r="64" spans="7:8" x14ac:dyDescent="0.25">
      <c r="G64" s="2"/>
      <c r="H64" s="2"/>
    </row>
    <row r="65" spans="7:8" x14ac:dyDescent="0.25">
      <c r="G65" s="2"/>
      <c r="H65" s="2"/>
    </row>
    <row r="66" spans="7:8" x14ac:dyDescent="0.25">
      <c r="G66" s="2"/>
      <c r="H66" s="2"/>
    </row>
    <row r="67" spans="7:8" x14ac:dyDescent="0.25">
      <c r="G67" s="2"/>
      <c r="H67" s="2"/>
    </row>
    <row r="68" spans="7:8" x14ac:dyDescent="0.25">
      <c r="G68" s="2"/>
      <c r="H68" s="2"/>
    </row>
    <row r="69" spans="7:8" x14ac:dyDescent="0.25">
      <c r="G69" s="2"/>
      <c r="H69" s="2"/>
    </row>
    <row r="70" spans="7:8" x14ac:dyDescent="0.25">
      <c r="G70" s="2"/>
      <c r="H70" s="2"/>
    </row>
    <row r="71" spans="7:8" x14ac:dyDescent="0.25">
      <c r="G71" s="2"/>
      <c r="H71" s="2"/>
    </row>
    <row r="72" spans="7:8" x14ac:dyDescent="0.25">
      <c r="G72" s="2"/>
      <c r="H72" s="2"/>
    </row>
    <row r="73" spans="7:8" x14ac:dyDescent="0.25">
      <c r="G73" s="2"/>
      <c r="H73" s="2"/>
    </row>
    <row r="74" spans="7:8" x14ac:dyDescent="0.25">
      <c r="G74" s="2"/>
      <c r="H74" s="2"/>
    </row>
    <row r="75" spans="7:8" x14ac:dyDescent="0.25">
      <c r="G75" s="2"/>
      <c r="H75" s="2"/>
    </row>
    <row r="76" spans="7:8" x14ac:dyDescent="0.25">
      <c r="G76" s="2"/>
      <c r="H76" s="2"/>
    </row>
    <row r="77" spans="7:8" x14ac:dyDescent="0.25">
      <c r="G77" s="2"/>
      <c r="H77" s="2"/>
    </row>
    <row r="78" spans="7:8" x14ac:dyDescent="0.25">
      <c r="G78" s="2"/>
      <c r="H78" s="2"/>
    </row>
    <row r="79" spans="7:8" x14ac:dyDescent="0.25">
      <c r="G79" s="2"/>
      <c r="H79" s="2"/>
    </row>
    <row r="80" spans="7:8" x14ac:dyDescent="0.25">
      <c r="G80" s="2"/>
      <c r="H80" s="2"/>
    </row>
    <row r="81" spans="7:8" x14ac:dyDescent="0.25">
      <c r="G81" s="2"/>
      <c r="H81" s="2"/>
    </row>
    <row r="82" spans="7:8" x14ac:dyDescent="0.25">
      <c r="G82" s="2"/>
      <c r="H82" s="2"/>
    </row>
    <row r="83" spans="7:8" x14ac:dyDescent="0.25">
      <c r="G83" s="2"/>
      <c r="H83" s="2"/>
    </row>
    <row r="84" spans="7:8" x14ac:dyDescent="0.25">
      <c r="G84" s="2"/>
      <c r="H84" s="2"/>
    </row>
    <row r="85" spans="7:8" x14ac:dyDescent="0.25">
      <c r="G85" s="2"/>
      <c r="H85" s="2"/>
    </row>
    <row r="86" spans="7:8" x14ac:dyDescent="0.25">
      <c r="G86" s="2"/>
      <c r="H86" s="2"/>
    </row>
    <row r="87" spans="7:8" x14ac:dyDescent="0.25">
      <c r="G87" s="2"/>
      <c r="H87" s="2"/>
    </row>
    <row r="88" spans="7:8" x14ac:dyDescent="0.25">
      <c r="G88" s="2"/>
      <c r="H88" s="2"/>
    </row>
    <row r="89" spans="7:8" x14ac:dyDescent="0.25">
      <c r="G89" s="2"/>
      <c r="H89" s="2"/>
    </row>
    <row r="90" spans="7:8" x14ac:dyDescent="0.25">
      <c r="G90" s="2"/>
      <c r="H90" s="2"/>
    </row>
    <row r="91" spans="7:8" x14ac:dyDescent="0.25">
      <c r="G91" s="2"/>
      <c r="H91" s="2"/>
    </row>
    <row r="92" spans="7:8" x14ac:dyDescent="0.25">
      <c r="G92" s="2"/>
      <c r="H92" s="2"/>
    </row>
    <row r="93" spans="7:8" x14ac:dyDescent="0.25">
      <c r="G93" s="2"/>
      <c r="H93" s="2"/>
    </row>
    <row r="94" spans="7:8" x14ac:dyDescent="0.25">
      <c r="G94" s="2"/>
      <c r="H94" s="2"/>
    </row>
    <row r="95" spans="7:8" x14ac:dyDescent="0.25">
      <c r="G95" s="2"/>
      <c r="H95" s="2"/>
    </row>
    <row r="96" spans="7:8" x14ac:dyDescent="0.25">
      <c r="G96" s="2"/>
      <c r="H96" s="2"/>
    </row>
    <row r="97" spans="7:8" x14ac:dyDescent="0.25">
      <c r="G97" s="2"/>
      <c r="H97" s="2"/>
    </row>
    <row r="98" spans="7:8" x14ac:dyDescent="0.25">
      <c r="G98" s="2"/>
      <c r="H98" s="2"/>
    </row>
    <row r="99" spans="7:8" x14ac:dyDescent="0.25">
      <c r="G99" s="2"/>
      <c r="H99" s="2"/>
    </row>
    <row r="100" spans="7:8" x14ac:dyDescent="0.25">
      <c r="G100" s="2"/>
      <c r="H100" s="2"/>
    </row>
    <row r="101" spans="7:8" x14ac:dyDescent="0.25">
      <c r="G101" s="2"/>
      <c r="H101" s="2"/>
    </row>
    <row r="102" spans="7:8" x14ac:dyDescent="0.25">
      <c r="G102" s="2"/>
      <c r="H102" s="2"/>
    </row>
    <row r="103" spans="7:8" x14ac:dyDescent="0.25">
      <c r="G103" s="2"/>
      <c r="H103" s="2"/>
    </row>
    <row r="104" spans="7:8" x14ac:dyDescent="0.25">
      <c r="G104" s="2"/>
      <c r="H104" s="2"/>
    </row>
    <row r="105" spans="7:8" x14ac:dyDescent="0.25">
      <c r="G105" s="2"/>
      <c r="H105" s="2"/>
    </row>
    <row r="106" spans="7:8" x14ac:dyDescent="0.25">
      <c r="G106" s="2"/>
      <c r="H106" s="2"/>
    </row>
    <row r="107" spans="7:8" x14ac:dyDescent="0.25">
      <c r="G107" s="2"/>
      <c r="H107" s="2"/>
    </row>
    <row r="108" spans="7:8" x14ac:dyDescent="0.25">
      <c r="G108" s="2"/>
      <c r="H108" s="2"/>
    </row>
    <row r="109" spans="7:8" x14ac:dyDescent="0.25">
      <c r="G109" s="2"/>
      <c r="H109" s="2"/>
    </row>
    <row r="110" spans="7:8" x14ac:dyDescent="0.25">
      <c r="G110" s="2"/>
      <c r="H110" s="2"/>
    </row>
    <row r="111" spans="7:8" x14ac:dyDescent="0.25">
      <c r="G111" s="2"/>
      <c r="H111" s="2"/>
    </row>
    <row r="112" spans="7:8" x14ac:dyDescent="0.25">
      <c r="G112" s="2"/>
      <c r="H112" s="2"/>
    </row>
    <row r="113" spans="7:8" x14ac:dyDescent="0.25">
      <c r="G113" s="2"/>
      <c r="H113" s="2"/>
    </row>
    <row r="114" spans="7:8" x14ac:dyDescent="0.25">
      <c r="G114" s="2"/>
      <c r="H114" s="2"/>
    </row>
    <row r="115" spans="7:8" x14ac:dyDescent="0.25">
      <c r="G115" s="2"/>
      <c r="H115" s="2"/>
    </row>
    <row r="116" spans="7:8" x14ac:dyDescent="0.25">
      <c r="G116" s="2"/>
      <c r="H116" s="2"/>
    </row>
    <row r="117" spans="7:8" x14ac:dyDescent="0.25">
      <c r="G117" s="2"/>
      <c r="H117" s="2"/>
    </row>
    <row r="118" spans="7:8" x14ac:dyDescent="0.25">
      <c r="G118" s="2"/>
      <c r="H118" s="2"/>
    </row>
    <row r="119" spans="7:8" x14ac:dyDescent="0.25">
      <c r="G119" s="2"/>
      <c r="H119" s="2"/>
    </row>
    <row r="120" spans="7:8" x14ac:dyDescent="0.25">
      <c r="G120" s="2"/>
      <c r="H120" s="2"/>
    </row>
    <row r="121" spans="7:8" x14ac:dyDescent="0.25">
      <c r="G121" s="2"/>
      <c r="H121" s="2"/>
    </row>
    <row r="122" spans="7:8" x14ac:dyDescent="0.25">
      <c r="G122" s="2"/>
      <c r="H122" s="2"/>
    </row>
    <row r="123" spans="7:8" x14ac:dyDescent="0.25">
      <c r="G123" s="2"/>
      <c r="H123" s="2"/>
    </row>
    <row r="124" spans="7:8" x14ac:dyDescent="0.25">
      <c r="G124" s="2"/>
      <c r="H124" s="2"/>
    </row>
    <row r="125" spans="7:8" x14ac:dyDescent="0.25">
      <c r="G125" s="2"/>
      <c r="H125" s="2"/>
    </row>
    <row r="126" spans="7:8" x14ac:dyDescent="0.25">
      <c r="G126" s="2"/>
      <c r="H126" s="2"/>
    </row>
    <row r="127" spans="7:8" x14ac:dyDescent="0.25">
      <c r="G127" s="2"/>
      <c r="H127" s="2"/>
    </row>
    <row r="128" spans="7:8" x14ac:dyDescent="0.25">
      <c r="G128" s="2"/>
      <c r="H128" s="2"/>
    </row>
    <row r="129" spans="7:8" x14ac:dyDescent="0.25">
      <c r="G129" s="2"/>
      <c r="H129" s="2"/>
    </row>
    <row r="130" spans="7:8" x14ac:dyDescent="0.25">
      <c r="G130" s="2"/>
      <c r="H130" s="2"/>
    </row>
    <row r="131" spans="7:8" x14ac:dyDescent="0.25">
      <c r="G131" s="2"/>
      <c r="H131" s="2"/>
    </row>
    <row r="132" spans="7:8" x14ac:dyDescent="0.25">
      <c r="G132" s="2"/>
      <c r="H132" s="2"/>
    </row>
    <row r="133" spans="7:8" x14ac:dyDescent="0.25">
      <c r="G133" s="2"/>
      <c r="H133" s="2"/>
    </row>
    <row r="134" spans="7:8" x14ac:dyDescent="0.25">
      <c r="G134" s="2"/>
      <c r="H134" s="2"/>
    </row>
    <row r="135" spans="7:8" x14ac:dyDescent="0.25">
      <c r="G135" s="2"/>
      <c r="H135" s="2"/>
    </row>
    <row r="136" spans="7:8" x14ac:dyDescent="0.25">
      <c r="G136" s="2"/>
      <c r="H136" s="2"/>
    </row>
    <row r="137" spans="7:8" x14ac:dyDescent="0.25">
      <c r="G137" s="2"/>
      <c r="H137" s="2"/>
    </row>
    <row r="138" spans="7:8" x14ac:dyDescent="0.25">
      <c r="G138" s="2"/>
      <c r="H138" s="2"/>
    </row>
    <row r="139" spans="7:8" x14ac:dyDescent="0.25">
      <c r="G139" s="2"/>
      <c r="H139" s="2"/>
    </row>
    <row r="140" spans="7:8" x14ac:dyDescent="0.25">
      <c r="G140" s="2"/>
      <c r="H140" s="2"/>
    </row>
    <row r="141" spans="7:8" x14ac:dyDescent="0.25">
      <c r="G141" s="2"/>
      <c r="H141" s="2"/>
    </row>
    <row r="142" spans="7:8" x14ac:dyDescent="0.25">
      <c r="G142" s="2"/>
      <c r="H142" s="2"/>
    </row>
    <row r="143" spans="7:8" x14ac:dyDescent="0.25">
      <c r="G143" s="2"/>
      <c r="H143" s="2"/>
    </row>
    <row r="144" spans="7:8" x14ac:dyDescent="0.25">
      <c r="G144" s="2"/>
      <c r="H144" s="2"/>
    </row>
    <row r="145" spans="7:8" x14ac:dyDescent="0.25">
      <c r="G145" s="2"/>
      <c r="H145" s="2"/>
    </row>
    <row r="146" spans="7:8" x14ac:dyDescent="0.25">
      <c r="G146" s="2"/>
      <c r="H146" s="2"/>
    </row>
    <row r="147" spans="7:8" x14ac:dyDescent="0.25">
      <c r="G147" s="2"/>
      <c r="H147" s="2"/>
    </row>
    <row r="148" spans="7:8" x14ac:dyDescent="0.25">
      <c r="G148" s="2"/>
      <c r="H148" s="2"/>
    </row>
    <row r="149" spans="7:8" x14ac:dyDescent="0.25">
      <c r="G149" s="2"/>
      <c r="H149" s="2"/>
    </row>
    <row r="150" spans="7:8" x14ac:dyDescent="0.25">
      <c r="G150" s="2"/>
      <c r="H150" s="2"/>
    </row>
    <row r="151" spans="7:8" x14ac:dyDescent="0.25">
      <c r="G151" s="2"/>
      <c r="H151" s="2"/>
    </row>
    <row r="152" spans="7:8" x14ac:dyDescent="0.25">
      <c r="G152" s="2"/>
      <c r="H152" s="2"/>
    </row>
    <row r="153" spans="7:8" x14ac:dyDescent="0.25">
      <c r="G153" s="2"/>
      <c r="H153" s="2"/>
    </row>
    <row r="154" spans="7:8" x14ac:dyDescent="0.25">
      <c r="G154" s="2"/>
      <c r="H154" s="2"/>
    </row>
    <row r="155" spans="7:8" x14ac:dyDescent="0.25">
      <c r="G155" s="2"/>
      <c r="H155" s="2"/>
    </row>
    <row r="156" spans="7:8" x14ac:dyDescent="0.25">
      <c r="G156" s="2"/>
      <c r="H156" s="2"/>
    </row>
    <row r="157" spans="7:8" x14ac:dyDescent="0.25">
      <c r="G157" s="2"/>
      <c r="H157" s="2"/>
    </row>
    <row r="158" spans="7:8" x14ac:dyDescent="0.25">
      <c r="G158" s="2"/>
      <c r="H158" s="2"/>
    </row>
    <row r="159" spans="7:8" x14ac:dyDescent="0.25">
      <c r="G159" s="2"/>
      <c r="H159" s="2"/>
    </row>
    <row r="160" spans="7:8" x14ac:dyDescent="0.25">
      <c r="G160" s="2"/>
      <c r="H160" s="2"/>
    </row>
    <row r="161" spans="7:8" x14ac:dyDescent="0.25">
      <c r="G161" s="2"/>
      <c r="H161" s="2"/>
    </row>
    <row r="162" spans="7:8" x14ac:dyDescent="0.25">
      <c r="G162" s="2"/>
      <c r="H162" s="2"/>
    </row>
    <row r="163" spans="7:8" x14ac:dyDescent="0.25">
      <c r="G163" s="2"/>
      <c r="H163" s="2"/>
    </row>
    <row r="164" spans="7:8" x14ac:dyDescent="0.25">
      <c r="G164" s="2"/>
      <c r="H164" s="2"/>
    </row>
    <row r="165" spans="7:8" x14ac:dyDescent="0.25">
      <c r="G165" s="2"/>
      <c r="H165" s="2"/>
    </row>
    <row r="166" spans="7:8" x14ac:dyDescent="0.25">
      <c r="G166" s="2"/>
      <c r="H166" s="2"/>
    </row>
    <row r="167" spans="7:8" x14ac:dyDescent="0.25">
      <c r="G167" s="2"/>
      <c r="H167" s="2"/>
    </row>
    <row r="168" spans="7:8" x14ac:dyDescent="0.25">
      <c r="G168" s="2"/>
      <c r="H168" s="2"/>
    </row>
    <row r="169" spans="7:8" x14ac:dyDescent="0.25">
      <c r="G169" s="2"/>
      <c r="H169" s="2"/>
    </row>
    <row r="170" spans="7:8" x14ac:dyDescent="0.25">
      <c r="G170" s="2"/>
      <c r="H170" s="2"/>
    </row>
    <row r="171" spans="7:8" x14ac:dyDescent="0.25">
      <c r="G171" s="2"/>
      <c r="H171" s="2"/>
    </row>
    <row r="172" spans="7:8" x14ac:dyDescent="0.25">
      <c r="G172" s="2"/>
      <c r="H172" s="2"/>
    </row>
    <row r="173" spans="7:8" x14ac:dyDescent="0.25">
      <c r="G173" s="2"/>
      <c r="H173" s="2"/>
    </row>
    <row r="174" spans="7:8" x14ac:dyDescent="0.25">
      <c r="G174" s="2"/>
      <c r="H174" s="2"/>
    </row>
    <row r="175" spans="7:8" x14ac:dyDescent="0.25">
      <c r="G175" s="2"/>
      <c r="H175" s="2"/>
    </row>
    <row r="176" spans="7:8" x14ac:dyDescent="0.25">
      <c r="G176" s="2"/>
      <c r="H176" s="2"/>
    </row>
    <row r="177" spans="7:8" x14ac:dyDescent="0.25">
      <c r="G177" s="2"/>
      <c r="H177" s="2"/>
    </row>
    <row r="178" spans="7:8" x14ac:dyDescent="0.25">
      <c r="G178" s="2"/>
      <c r="H178" s="2"/>
    </row>
    <row r="179" spans="7:8" x14ac:dyDescent="0.25">
      <c r="G179" s="2"/>
      <c r="H179" s="2"/>
    </row>
    <row r="180" spans="7:8" x14ac:dyDescent="0.25">
      <c r="G180" s="2"/>
      <c r="H180" s="2"/>
    </row>
    <row r="181" spans="7:8" x14ac:dyDescent="0.25">
      <c r="G181" s="2"/>
      <c r="H181" s="2"/>
    </row>
    <row r="182" spans="7:8" x14ac:dyDescent="0.25">
      <c r="G182" s="2"/>
      <c r="H182" s="2"/>
    </row>
    <row r="183" spans="7:8" x14ac:dyDescent="0.25">
      <c r="G183" s="2"/>
      <c r="H183" s="2"/>
    </row>
    <row r="184" spans="7:8" x14ac:dyDescent="0.25">
      <c r="G184" s="2"/>
      <c r="H184" s="2"/>
    </row>
    <row r="185" spans="7:8" x14ac:dyDescent="0.25">
      <c r="G185" s="2"/>
      <c r="H185" s="2"/>
    </row>
    <row r="186" spans="7:8" x14ac:dyDescent="0.25">
      <c r="G186" s="2"/>
      <c r="H186" s="2"/>
    </row>
    <row r="187" spans="7:8" x14ac:dyDescent="0.25">
      <c r="G187" s="2"/>
      <c r="H187" s="2"/>
    </row>
    <row r="188" spans="7:8" x14ac:dyDescent="0.25">
      <c r="G188" s="2"/>
      <c r="H188" s="2"/>
    </row>
    <row r="189" spans="7:8" x14ac:dyDescent="0.25">
      <c r="G189" s="2"/>
      <c r="H189" s="2"/>
    </row>
    <row r="190" spans="7:8" x14ac:dyDescent="0.25">
      <c r="G190" s="2"/>
      <c r="H190" s="2"/>
    </row>
    <row r="191" spans="7:8" x14ac:dyDescent="0.25">
      <c r="G191" s="2"/>
      <c r="H191" s="2"/>
    </row>
    <row r="192" spans="7:8" x14ac:dyDescent="0.25">
      <c r="G192" s="2"/>
      <c r="H192" s="2"/>
    </row>
    <row r="193" spans="7:8" x14ac:dyDescent="0.25">
      <c r="G193" s="2"/>
      <c r="H193" s="2"/>
    </row>
    <row r="194" spans="7:8" x14ac:dyDescent="0.25">
      <c r="G194" s="2"/>
      <c r="H194" s="2"/>
    </row>
    <row r="195" spans="7:8" x14ac:dyDescent="0.25">
      <c r="G195" s="2"/>
      <c r="H195" s="2"/>
    </row>
    <row r="196" spans="7:8" x14ac:dyDescent="0.25">
      <c r="G196" s="2"/>
      <c r="H196" s="2"/>
    </row>
    <row r="197" spans="7:8" x14ac:dyDescent="0.25">
      <c r="G197" s="2"/>
      <c r="H197" s="2"/>
    </row>
    <row r="198" spans="7:8" x14ac:dyDescent="0.25">
      <c r="G198" s="2"/>
      <c r="H198" s="2"/>
    </row>
    <row r="199" spans="7:8" x14ac:dyDescent="0.25">
      <c r="G199" s="2"/>
      <c r="H199" s="2"/>
    </row>
    <row r="200" spans="7:8" x14ac:dyDescent="0.25">
      <c r="G200" s="2"/>
      <c r="H200" s="2"/>
    </row>
    <row r="201" spans="7:8" x14ac:dyDescent="0.25">
      <c r="G201" s="2"/>
      <c r="H201" s="2"/>
    </row>
    <row r="202" spans="7:8" x14ac:dyDescent="0.25">
      <c r="G202" s="2"/>
      <c r="H202" s="2"/>
    </row>
    <row r="203" spans="7:8" x14ac:dyDescent="0.25">
      <c r="G203" s="2"/>
      <c r="H203" s="2"/>
    </row>
    <row r="204" spans="7:8" x14ac:dyDescent="0.25">
      <c r="G204" s="2"/>
      <c r="H204" s="2"/>
    </row>
    <row r="205" spans="7:8" x14ac:dyDescent="0.25">
      <c r="G205" s="2"/>
      <c r="H205" s="2"/>
    </row>
    <row r="206" spans="7:8" x14ac:dyDescent="0.25">
      <c r="G206" s="2"/>
      <c r="H206" s="2"/>
    </row>
    <row r="207" spans="7:8" x14ac:dyDescent="0.25">
      <c r="G207" s="2"/>
      <c r="H207" s="2"/>
    </row>
    <row r="208" spans="7:8" x14ac:dyDescent="0.25">
      <c r="G208" s="2"/>
      <c r="H208" s="2"/>
    </row>
    <row r="209" spans="7:8" x14ac:dyDescent="0.25">
      <c r="G209" s="2"/>
      <c r="H209" s="2"/>
    </row>
    <row r="210" spans="7:8" x14ac:dyDescent="0.25">
      <c r="G210" s="2"/>
      <c r="H210" s="2"/>
    </row>
    <row r="211" spans="7:8" x14ac:dyDescent="0.25">
      <c r="G211" s="2"/>
      <c r="H211" s="2"/>
    </row>
    <row r="212" spans="7:8" x14ac:dyDescent="0.25">
      <c r="G212" s="2"/>
      <c r="H212" s="2"/>
    </row>
    <row r="213" spans="7:8" x14ac:dyDescent="0.25">
      <c r="G213" s="2"/>
      <c r="H213" s="2"/>
    </row>
    <row r="214" spans="7:8" x14ac:dyDescent="0.25">
      <c r="G214" s="2"/>
      <c r="H214" s="2"/>
    </row>
    <row r="215" spans="7:8" x14ac:dyDescent="0.25">
      <c r="G215" s="2"/>
      <c r="H215" s="2"/>
    </row>
    <row r="216" spans="7:8" x14ac:dyDescent="0.25">
      <c r="G216" s="2"/>
      <c r="H216" s="2"/>
    </row>
  </sheetData>
  <customSheetViews>
    <customSheetView guid="{D6BA57A5-118E-4B58-A351-7E1C36DA5B56}">
      <selection activeCell="K1" sqref="K1"/>
      <pageMargins left="0.7" right="0.7" top="0.75" bottom="0.75" header="0.3" footer="0.3"/>
    </customSheetView>
    <customSheetView guid="{05B8E57A-BB97-41F0-B6FB-606E79293C77}">
      <selection activeCell="B24" sqref="B24"/>
      <pageMargins left="0.7" right="0.7" top="0.75" bottom="0.75" header="0.3" footer="0.3"/>
    </customSheetView>
    <customSheetView guid="{3C013989-8552-4FE1-BB7E-C88994E2D13D}">
      <selection activeCell="K1" sqref="K1"/>
      <pageMargins left="0.7" right="0.7" top="0.75" bottom="0.75" header="0.3" footer="0.3"/>
    </customSheetView>
    <customSheetView guid="{75B547B5-834C-4784-8C45-4C35B93C736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0"/>
  <sheetViews>
    <sheetView topLeftCell="A4" zoomScaleNormal="100" workbookViewId="0">
      <selection activeCell="L8" sqref="L8"/>
    </sheetView>
  </sheetViews>
  <sheetFormatPr defaultRowHeight="15" x14ac:dyDescent="0.25"/>
  <cols>
    <col min="1" max="1" width="9.5703125" customWidth="1"/>
    <col min="2" max="2" width="11.28515625" customWidth="1"/>
    <col min="4" max="4" width="8" customWidth="1"/>
    <col min="5" max="5" width="10.28515625" customWidth="1"/>
    <col min="6" max="6" width="14.7109375" customWidth="1"/>
    <col min="7" max="7" width="10.5703125" customWidth="1"/>
    <col min="8" max="8" width="12.140625" customWidth="1"/>
    <col min="9" max="9" width="13.7109375" customWidth="1"/>
    <col min="10" max="10" width="10.140625" customWidth="1"/>
    <col min="11" max="11" width="15" customWidth="1"/>
    <col min="12" max="12" width="20.85546875" customWidth="1"/>
    <col min="13" max="13" width="8.85546875" customWidth="1"/>
    <col min="14" max="14" width="9.28515625" bestFit="1" customWidth="1"/>
  </cols>
  <sheetData>
    <row r="1" spans="1:14" x14ac:dyDescent="0.25">
      <c r="A1" s="265" t="s">
        <v>400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</row>
    <row r="2" spans="1:14" x14ac:dyDescent="0.25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</row>
    <row r="3" spans="1:14" x14ac:dyDescent="0.25">
      <c r="A3" s="265"/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4" x14ac:dyDescent="0.25">
      <c r="A4" s="265"/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t="s">
        <v>401</v>
      </c>
      <c r="N4" s="53">
        <v>42615</v>
      </c>
    </row>
    <row r="5" spans="1:14" x14ac:dyDescent="0.25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</row>
    <row r="6" spans="1:14" x14ac:dyDescent="0.25">
      <c r="A6" s="265"/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</row>
    <row r="7" spans="1:14" ht="45" x14ac:dyDescent="0.25">
      <c r="A7" s="125" t="s">
        <v>223</v>
      </c>
      <c r="B7" s="125" t="s">
        <v>225</v>
      </c>
      <c r="C7" s="126" t="s">
        <v>402</v>
      </c>
      <c r="D7" s="126" t="s">
        <v>403</v>
      </c>
      <c r="E7" s="126" t="s">
        <v>404</v>
      </c>
      <c r="F7" s="126" t="s">
        <v>405</v>
      </c>
      <c r="G7" s="126" t="s">
        <v>406</v>
      </c>
      <c r="H7" s="126" t="s">
        <v>37</v>
      </c>
      <c r="I7" s="126" t="s">
        <v>227</v>
      </c>
      <c r="J7" s="126" t="s">
        <v>228</v>
      </c>
      <c r="K7" s="126" t="s">
        <v>407</v>
      </c>
      <c r="L7" s="126" t="s">
        <v>9</v>
      </c>
    </row>
    <row r="8" spans="1:14" x14ac:dyDescent="0.25">
      <c r="A8" s="7">
        <v>1001</v>
      </c>
      <c r="B8" s="127">
        <v>42612</v>
      </c>
      <c r="C8" s="7">
        <v>650</v>
      </c>
      <c r="D8" s="7">
        <v>780</v>
      </c>
      <c r="E8" s="128">
        <f>D8-C8</f>
        <v>130</v>
      </c>
      <c r="F8" s="129">
        <f>E8*8</f>
        <v>1040</v>
      </c>
      <c r="G8" s="68">
        <v>60</v>
      </c>
      <c r="H8" s="130">
        <f>F8+G8</f>
        <v>1100</v>
      </c>
      <c r="I8" s="131">
        <f>H8*17%</f>
        <v>187</v>
      </c>
      <c r="J8" s="128">
        <f t="shared" ref="J8:J21" si="0">IF(B8&gt;duedate, H8*5%, 0)</f>
        <v>0</v>
      </c>
      <c r="K8" s="129">
        <f>H8+I8+J8</f>
        <v>1287</v>
      </c>
      <c r="L8" s="132" t="str">
        <f>IF(K8&gt;15000, "Pay Your Bill", "Thank You")</f>
        <v>Thank You</v>
      </c>
    </row>
    <row r="9" spans="1:14" x14ac:dyDescent="0.25">
      <c r="A9" s="7">
        <v>1002</v>
      </c>
      <c r="B9" s="127">
        <v>42613</v>
      </c>
      <c r="C9" s="7">
        <v>1200</v>
      </c>
      <c r="D9" s="7">
        <v>1520</v>
      </c>
      <c r="E9" s="128">
        <f t="shared" ref="E9:E21" si="1">D9-C9</f>
        <v>320</v>
      </c>
      <c r="F9" s="129">
        <f t="shared" ref="F9:F21" si="2">E9*8</f>
        <v>2560</v>
      </c>
      <c r="G9" s="68">
        <v>60</v>
      </c>
      <c r="H9" s="130">
        <f t="shared" ref="H9:H21" si="3">F9+G9</f>
        <v>2620</v>
      </c>
      <c r="I9" s="131">
        <f t="shared" ref="I9:I21" si="4">H9*17%</f>
        <v>445.40000000000003</v>
      </c>
      <c r="J9" s="128">
        <f t="shared" si="0"/>
        <v>0</v>
      </c>
      <c r="K9" s="129">
        <f t="shared" ref="K9:K21" si="5">H9+I9+J9</f>
        <v>3065.4</v>
      </c>
      <c r="L9" s="132" t="str">
        <f t="shared" ref="L9:L21" si="6">IF(K9&gt;15000, "Pay Your Bill", "Thank You")</f>
        <v>Thank You</v>
      </c>
      <c r="N9" t="s">
        <v>408</v>
      </c>
    </row>
    <row r="10" spans="1:14" x14ac:dyDescent="0.25">
      <c r="A10" s="7">
        <v>1003</v>
      </c>
      <c r="B10" s="127">
        <v>42614</v>
      </c>
      <c r="C10" s="7">
        <v>1300</v>
      </c>
      <c r="D10" s="7">
        <v>3500</v>
      </c>
      <c r="E10" s="128">
        <f t="shared" si="1"/>
        <v>2200</v>
      </c>
      <c r="F10" s="129">
        <f t="shared" si="2"/>
        <v>17600</v>
      </c>
      <c r="G10" s="68">
        <v>60</v>
      </c>
      <c r="H10" s="130">
        <f t="shared" si="3"/>
        <v>17660</v>
      </c>
      <c r="I10" s="131">
        <f t="shared" si="4"/>
        <v>3002.2000000000003</v>
      </c>
      <c r="J10" s="128">
        <f t="shared" si="0"/>
        <v>0</v>
      </c>
      <c r="K10" s="129">
        <f t="shared" si="5"/>
        <v>20662.2</v>
      </c>
      <c r="L10" s="132" t="str">
        <f t="shared" si="6"/>
        <v>Pay Your Bill</v>
      </c>
    </row>
    <row r="11" spans="1:14" x14ac:dyDescent="0.25">
      <c r="A11" s="7">
        <v>1004</v>
      </c>
      <c r="B11" s="127">
        <v>42615</v>
      </c>
      <c r="C11" s="7">
        <v>500</v>
      </c>
      <c r="D11" s="7">
        <v>750</v>
      </c>
      <c r="E11" s="128">
        <f t="shared" si="1"/>
        <v>250</v>
      </c>
      <c r="F11" s="129">
        <f t="shared" si="2"/>
        <v>2000</v>
      </c>
      <c r="G11" s="68">
        <v>60</v>
      </c>
      <c r="H11" s="130">
        <f t="shared" si="3"/>
        <v>2060</v>
      </c>
      <c r="I11" s="131">
        <f t="shared" si="4"/>
        <v>350.20000000000005</v>
      </c>
      <c r="J11" s="128">
        <f t="shared" si="0"/>
        <v>0</v>
      </c>
      <c r="K11" s="129">
        <f t="shared" si="5"/>
        <v>2410.1999999999998</v>
      </c>
      <c r="L11" s="132" t="str">
        <f t="shared" si="6"/>
        <v>Thank You</v>
      </c>
    </row>
    <row r="12" spans="1:14" x14ac:dyDescent="0.25">
      <c r="A12" s="7">
        <v>1005</v>
      </c>
      <c r="B12" s="127">
        <v>42616</v>
      </c>
      <c r="C12" s="7">
        <v>800</v>
      </c>
      <c r="D12" s="7">
        <v>980</v>
      </c>
      <c r="E12" s="128">
        <f t="shared" si="1"/>
        <v>180</v>
      </c>
      <c r="F12" s="129">
        <f t="shared" si="2"/>
        <v>1440</v>
      </c>
      <c r="G12" s="68">
        <v>60</v>
      </c>
      <c r="H12" s="130">
        <f t="shared" si="3"/>
        <v>1500</v>
      </c>
      <c r="I12" s="131">
        <f t="shared" si="4"/>
        <v>255.00000000000003</v>
      </c>
      <c r="J12" s="128">
        <f t="shared" si="0"/>
        <v>75</v>
      </c>
      <c r="K12" s="129">
        <f t="shared" si="5"/>
        <v>1830</v>
      </c>
      <c r="L12" s="132" t="str">
        <f t="shared" si="6"/>
        <v>Thank You</v>
      </c>
    </row>
    <row r="13" spans="1:14" x14ac:dyDescent="0.25">
      <c r="A13" s="7">
        <v>1006</v>
      </c>
      <c r="B13" s="127">
        <v>42617</v>
      </c>
      <c r="C13" s="7">
        <v>0</v>
      </c>
      <c r="D13" s="7">
        <v>2500</v>
      </c>
      <c r="E13" s="128">
        <f t="shared" si="1"/>
        <v>2500</v>
      </c>
      <c r="F13" s="129">
        <f t="shared" si="2"/>
        <v>20000</v>
      </c>
      <c r="G13" s="68">
        <v>60</v>
      </c>
      <c r="H13" s="130">
        <f t="shared" si="3"/>
        <v>20060</v>
      </c>
      <c r="I13" s="131">
        <f t="shared" si="4"/>
        <v>3410.2000000000003</v>
      </c>
      <c r="J13" s="128">
        <f t="shared" si="0"/>
        <v>1003</v>
      </c>
      <c r="K13" s="129">
        <f t="shared" si="5"/>
        <v>24473.200000000001</v>
      </c>
      <c r="L13" s="132" t="str">
        <f t="shared" si="6"/>
        <v>Pay Your Bill</v>
      </c>
    </row>
    <row r="14" spans="1:14" x14ac:dyDescent="0.25">
      <c r="A14" s="7">
        <v>1007</v>
      </c>
      <c r="B14" s="127"/>
      <c r="C14" s="7"/>
      <c r="D14" s="7"/>
      <c r="E14" s="128">
        <f t="shared" si="1"/>
        <v>0</v>
      </c>
      <c r="F14" s="129">
        <f t="shared" si="2"/>
        <v>0</v>
      </c>
      <c r="G14" s="68">
        <v>60</v>
      </c>
      <c r="H14" s="130">
        <f t="shared" si="3"/>
        <v>60</v>
      </c>
      <c r="I14" s="131">
        <f t="shared" si="4"/>
        <v>10.200000000000001</v>
      </c>
      <c r="J14" s="128">
        <f t="shared" si="0"/>
        <v>0</v>
      </c>
      <c r="K14" s="129">
        <f t="shared" si="5"/>
        <v>70.2</v>
      </c>
      <c r="L14" s="132" t="str">
        <f t="shared" si="6"/>
        <v>Thank You</v>
      </c>
    </row>
    <row r="15" spans="1:14" x14ac:dyDescent="0.25">
      <c r="A15" s="7">
        <v>1008</v>
      </c>
      <c r="B15" s="127"/>
      <c r="C15" s="7"/>
      <c r="D15" s="7"/>
      <c r="E15" s="128">
        <f t="shared" si="1"/>
        <v>0</v>
      </c>
      <c r="F15" s="129">
        <f t="shared" si="2"/>
        <v>0</v>
      </c>
      <c r="G15" s="68">
        <v>60</v>
      </c>
      <c r="H15" s="130">
        <f t="shared" si="3"/>
        <v>60</v>
      </c>
      <c r="I15" s="131">
        <f t="shared" si="4"/>
        <v>10.200000000000001</v>
      </c>
      <c r="J15" s="128">
        <f t="shared" si="0"/>
        <v>0</v>
      </c>
      <c r="K15" s="129">
        <f t="shared" si="5"/>
        <v>70.2</v>
      </c>
      <c r="L15" s="132" t="str">
        <f t="shared" si="6"/>
        <v>Thank You</v>
      </c>
    </row>
    <row r="16" spans="1:14" x14ac:dyDescent="0.25">
      <c r="A16" s="7">
        <v>1009</v>
      </c>
      <c r="B16" s="127"/>
      <c r="C16" s="7"/>
      <c r="D16" s="7"/>
      <c r="E16" s="128">
        <f t="shared" si="1"/>
        <v>0</v>
      </c>
      <c r="F16" s="129">
        <f t="shared" si="2"/>
        <v>0</v>
      </c>
      <c r="G16" s="68">
        <v>60</v>
      </c>
      <c r="H16" s="130">
        <f t="shared" si="3"/>
        <v>60</v>
      </c>
      <c r="I16" s="131">
        <f t="shared" si="4"/>
        <v>10.200000000000001</v>
      </c>
      <c r="J16" s="128">
        <f t="shared" si="0"/>
        <v>0</v>
      </c>
      <c r="K16" s="129">
        <f t="shared" si="5"/>
        <v>70.2</v>
      </c>
      <c r="L16" s="132" t="str">
        <f t="shared" si="6"/>
        <v>Thank You</v>
      </c>
    </row>
    <row r="17" spans="1:12" x14ac:dyDescent="0.25">
      <c r="A17" s="7">
        <v>1010</v>
      </c>
      <c r="B17" s="127"/>
      <c r="C17" s="7"/>
      <c r="D17" s="7"/>
      <c r="E17" s="128">
        <f t="shared" si="1"/>
        <v>0</v>
      </c>
      <c r="F17" s="129">
        <f t="shared" si="2"/>
        <v>0</v>
      </c>
      <c r="G17" s="68">
        <v>60</v>
      </c>
      <c r="H17" s="130">
        <f t="shared" si="3"/>
        <v>60</v>
      </c>
      <c r="I17" s="131">
        <f t="shared" si="4"/>
        <v>10.200000000000001</v>
      </c>
      <c r="J17" s="128">
        <f t="shared" si="0"/>
        <v>0</v>
      </c>
      <c r="K17" s="129">
        <f t="shared" si="5"/>
        <v>70.2</v>
      </c>
      <c r="L17" s="132" t="str">
        <f t="shared" si="6"/>
        <v>Thank You</v>
      </c>
    </row>
    <row r="18" spans="1:12" x14ac:dyDescent="0.25">
      <c r="A18" s="7">
        <v>1011</v>
      </c>
      <c r="B18" s="127"/>
      <c r="C18" s="7"/>
      <c r="D18" s="7"/>
      <c r="E18" s="128">
        <f t="shared" si="1"/>
        <v>0</v>
      </c>
      <c r="F18" s="129">
        <f t="shared" si="2"/>
        <v>0</v>
      </c>
      <c r="G18" s="68">
        <v>60</v>
      </c>
      <c r="H18" s="130">
        <f t="shared" si="3"/>
        <v>60</v>
      </c>
      <c r="I18" s="131">
        <f t="shared" si="4"/>
        <v>10.200000000000001</v>
      </c>
      <c r="J18" s="128">
        <f t="shared" si="0"/>
        <v>0</v>
      </c>
      <c r="K18" s="129">
        <f t="shared" si="5"/>
        <v>70.2</v>
      </c>
      <c r="L18" s="132" t="str">
        <f t="shared" si="6"/>
        <v>Thank You</v>
      </c>
    </row>
    <row r="19" spans="1:12" x14ac:dyDescent="0.25">
      <c r="A19" s="7">
        <v>1012</v>
      </c>
      <c r="B19" s="127"/>
      <c r="C19" s="7"/>
      <c r="D19" s="7"/>
      <c r="E19" s="128">
        <f t="shared" si="1"/>
        <v>0</v>
      </c>
      <c r="F19" s="129">
        <f t="shared" si="2"/>
        <v>0</v>
      </c>
      <c r="G19" s="68">
        <v>60</v>
      </c>
      <c r="H19" s="130">
        <f t="shared" si="3"/>
        <v>60</v>
      </c>
      <c r="I19" s="131">
        <f t="shared" si="4"/>
        <v>10.200000000000001</v>
      </c>
      <c r="J19" s="128">
        <f t="shared" si="0"/>
        <v>0</v>
      </c>
      <c r="K19" s="129">
        <f t="shared" si="5"/>
        <v>70.2</v>
      </c>
      <c r="L19" s="132" t="str">
        <f t="shared" si="6"/>
        <v>Thank You</v>
      </c>
    </row>
    <row r="20" spans="1:12" x14ac:dyDescent="0.25">
      <c r="A20" s="7">
        <v>1013</v>
      </c>
      <c r="B20" s="127"/>
      <c r="C20" s="7"/>
      <c r="D20" s="7"/>
      <c r="E20" s="128">
        <f t="shared" si="1"/>
        <v>0</v>
      </c>
      <c r="F20" s="129">
        <f t="shared" si="2"/>
        <v>0</v>
      </c>
      <c r="G20" s="68">
        <v>60</v>
      </c>
      <c r="H20" s="130">
        <f t="shared" si="3"/>
        <v>60</v>
      </c>
      <c r="I20" s="131">
        <f t="shared" si="4"/>
        <v>10.200000000000001</v>
      </c>
      <c r="J20" s="128">
        <f t="shared" si="0"/>
        <v>0</v>
      </c>
      <c r="K20" s="129">
        <f t="shared" si="5"/>
        <v>70.2</v>
      </c>
      <c r="L20" s="132" t="str">
        <f t="shared" si="6"/>
        <v>Thank You</v>
      </c>
    </row>
    <row r="21" spans="1:12" x14ac:dyDescent="0.25">
      <c r="A21" s="7">
        <v>1014</v>
      </c>
      <c r="B21" s="127"/>
      <c r="C21" s="7"/>
      <c r="D21" s="7"/>
      <c r="E21" s="128">
        <f t="shared" si="1"/>
        <v>0</v>
      </c>
      <c r="F21" s="129">
        <f t="shared" si="2"/>
        <v>0</v>
      </c>
      <c r="G21" s="68">
        <v>60</v>
      </c>
      <c r="H21" s="130">
        <f t="shared" si="3"/>
        <v>60</v>
      </c>
      <c r="I21" s="131">
        <f t="shared" si="4"/>
        <v>10.200000000000001</v>
      </c>
      <c r="J21" s="128">
        <f t="shared" si="0"/>
        <v>0</v>
      </c>
      <c r="K21" s="129">
        <f t="shared" si="5"/>
        <v>70.2</v>
      </c>
      <c r="L21" s="132" t="str">
        <f t="shared" si="6"/>
        <v>Thank You</v>
      </c>
    </row>
    <row r="25" spans="1:12" x14ac:dyDescent="0.25">
      <c r="A25" s="133" t="s">
        <v>409</v>
      </c>
      <c r="B25" s="134">
        <v>42615</v>
      </c>
    </row>
    <row r="40" spans="1:12" ht="45" x14ac:dyDescent="0.25">
      <c r="A40" t="s">
        <v>223</v>
      </c>
      <c r="B40" t="s">
        <v>225</v>
      </c>
      <c r="C40" s="36" t="s">
        <v>410</v>
      </c>
      <c r="D40" s="36" t="s">
        <v>411</v>
      </c>
      <c r="E40" s="36" t="s">
        <v>412</v>
      </c>
      <c r="F40" s="36" t="s">
        <v>413</v>
      </c>
      <c r="G40" s="36" t="s">
        <v>414</v>
      </c>
      <c r="H40" s="36" t="s">
        <v>415</v>
      </c>
      <c r="I40" s="36" t="s">
        <v>227</v>
      </c>
      <c r="J40" s="36" t="s">
        <v>37</v>
      </c>
      <c r="K40" s="36" t="s">
        <v>228</v>
      </c>
      <c r="L40" s="36" t="s">
        <v>407</v>
      </c>
    </row>
  </sheetData>
  <mergeCells count="1">
    <mergeCell ref="A1:L6"/>
  </mergeCells>
  <conditionalFormatting sqref="L8:L21">
    <cfRule type="containsText" dxfId="38" priority="1" operator="containsText" text="Pay Your Bill">
      <formula>NOT(ISERROR(SEARCH("Pay Your Bill",L8)))</formula>
    </cfRule>
    <cfRule type="containsText" dxfId="37" priority="2" operator="containsText" text="Thank You">
      <formula>NOT(ISERROR(SEARCH("Thank You",L8)))</formula>
    </cfRule>
    <cfRule type="cellIs" dxfId="36" priority="3" operator="equal">
      <formula>"Pay Your bill on time"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M21"/>
  <sheetViews>
    <sheetView workbookViewId="0">
      <selection activeCell="M8" sqref="M8"/>
    </sheetView>
  </sheetViews>
  <sheetFormatPr defaultRowHeight="15" x14ac:dyDescent="0.25"/>
  <cols>
    <col min="1" max="1" width="10" customWidth="1"/>
    <col min="2" max="2" width="15.140625" customWidth="1"/>
    <col min="3" max="3" width="16.85546875" customWidth="1"/>
    <col min="4" max="4" width="14.5703125" customWidth="1"/>
    <col min="5" max="5" width="14.7109375" customWidth="1"/>
    <col min="6" max="6" width="12.28515625" customWidth="1"/>
    <col min="11" max="11" width="10.42578125" customWidth="1"/>
    <col min="13" max="13" width="13.140625" customWidth="1"/>
  </cols>
  <sheetData>
    <row r="1" spans="1:13" x14ac:dyDescent="0.25">
      <c r="A1" t="s">
        <v>222</v>
      </c>
      <c r="B1" s="53">
        <v>42236</v>
      </c>
    </row>
    <row r="7" spans="1:13" x14ac:dyDescent="0.25">
      <c r="A7" s="54" t="s">
        <v>223</v>
      </c>
      <c r="B7" s="54" t="s">
        <v>224</v>
      </c>
      <c r="C7" s="54" t="s">
        <v>225</v>
      </c>
      <c r="D7" s="54" t="s">
        <v>231</v>
      </c>
      <c r="E7" s="54" t="s">
        <v>230</v>
      </c>
      <c r="F7" s="54" t="s">
        <v>232</v>
      </c>
      <c r="G7" s="54" t="s">
        <v>226</v>
      </c>
      <c r="H7" s="54" t="s">
        <v>227</v>
      </c>
      <c r="I7" s="54" t="s">
        <v>123</v>
      </c>
      <c r="J7" s="54" t="s">
        <v>37</v>
      </c>
      <c r="K7" s="54" t="s">
        <v>228</v>
      </c>
      <c r="L7" s="54" t="s">
        <v>229</v>
      </c>
      <c r="M7" s="54" t="s">
        <v>9</v>
      </c>
    </row>
    <row r="8" spans="1:13" x14ac:dyDescent="0.25">
      <c r="A8" s="7">
        <v>1001</v>
      </c>
      <c r="B8" s="7" t="s">
        <v>233</v>
      </c>
      <c r="C8" s="55">
        <v>42227</v>
      </c>
      <c r="D8" s="15">
        <v>1230</v>
      </c>
      <c r="E8" s="15">
        <v>1340</v>
      </c>
      <c r="F8" s="56">
        <f>E8-D8</f>
        <v>110</v>
      </c>
      <c r="G8" s="20">
        <f>F8*8</f>
        <v>880</v>
      </c>
      <c r="H8" s="20">
        <f>G8*5%</f>
        <v>44</v>
      </c>
      <c r="I8" s="7">
        <v>250</v>
      </c>
      <c r="J8" s="20">
        <f>SUM(G8:I8)</f>
        <v>1174</v>
      </c>
      <c r="K8" s="20">
        <f>IF(C8&lt;=$B$1, 'Electric bill'!L110, J8*3%)</f>
        <v>0</v>
      </c>
      <c r="L8" s="20">
        <f>J8+K8</f>
        <v>1174</v>
      </c>
      <c r="M8" s="20" t="str">
        <f>IF(I8&lt;=3000, "Active", "Deactive")</f>
        <v>Active</v>
      </c>
    </row>
    <row r="9" spans="1:13" x14ac:dyDescent="0.25">
      <c r="A9" s="7">
        <v>1002</v>
      </c>
      <c r="B9" s="7" t="s">
        <v>233</v>
      </c>
      <c r="C9" s="55">
        <v>42228</v>
      </c>
      <c r="D9" s="15">
        <v>2250</v>
      </c>
      <c r="E9" s="15">
        <v>3225</v>
      </c>
      <c r="F9" s="56">
        <f t="shared" ref="F9:F21" si="0">E9-D9</f>
        <v>975</v>
      </c>
      <c r="G9" s="20">
        <f t="shared" ref="G9:G21" si="1">F9*8</f>
        <v>7800</v>
      </c>
      <c r="H9" s="20">
        <f t="shared" ref="H9:H21" si="2">G9*5%</f>
        <v>390</v>
      </c>
      <c r="I9" s="7">
        <v>300</v>
      </c>
      <c r="J9" s="20">
        <f t="shared" ref="J9:J21" si="3">SUM(G9:I9)</f>
        <v>8490</v>
      </c>
      <c r="K9" s="20">
        <f t="shared" ref="K9:K21" si="4">IF(C9&lt;=$B$1, 0, J9*3%)</f>
        <v>0</v>
      </c>
      <c r="L9" s="20">
        <f t="shared" ref="L9:L21" si="5">J9+K9</f>
        <v>8490</v>
      </c>
      <c r="M9" s="20" t="str">
        <f t="shared" ref="M9:M21" si="6">IF(I9&lt;=3000, "Active", "Deactive")</f>
        <v>Active</v>
      </c>
    </row>
    <row r="10" spans="1:13" x14ac:dyDescent="0.25">
      <c r="A10" s="7">
        <v>1003</v>
      </c>
      <c r="B10" s="7" t="s">
        <v>233</v>
      </c>
      <c r="C10" s="55">
        <v>42229</v>
      </c>
      <c r="D10" s="15">
        <v>1475</v>
      </c>
      <c r="E10" s="15">
        <v>1933</v>
      </c>
      <c r="F10" s="56">
        <f t="shared" si="0"/>
        <v>458</v>
      </c>
      <c r="G10" s="20">
        <f t="shared" si="1"/>
        <v>3664</v>
      </c>
      <c r="H10" s="20">
        <f t="shared" si="2"/>
        <v>183.20000000000002</v>
      </c>
      <c r="I10" s="7">
        <v>20</v>
      </c>
      <c r="J10" s="20">
        <f t="shared" si="3"/>
        <v>3867.2</v>
      </c>
      <c r="K10" s="20">
        <f t="shared" si="4"/>
        <v>0</v>
      </c>
      <c r="L10" s="20">
        <f t="shared" si="5"/>
        <v>3867.2</v>
      </c>
      <c r="M10" s="20" t="str">
        <f t="shared" si="6"/>
        <v>Active</v>
      </c>
    </row>
    <row r="11" spans="1:13" x14ac:dyDescent="0.25">
      <c r="A11" s="7">
        <v>1004</v>
      </c>
      <c r="B11" s="7" t="s">
        <v>233</v>
      </c>
      <c r="C11" s="55">
        <v>42230</v>
      </c>
      <c r="D11" s="15">
        <v>1480</v>
      </c>
      <c r="E11" s="15">
        <v>1585</v>
      </c>
      <c r="F11" s="56">
        <f t="shared" si="0"/>
        <v>105</v>
      </c>
      <c r="G11" s="20">
        <f t="shared" si="1"/>
        <v>840</v>
      </c>
      <c r="H11" s="20">
        <f t="shared" si="2"/>
        <v>42</v>
      </c>
      <c r="I11" s="7">
        <v>352</v>
      </c>
      <c r="J11" s="20">
        <f t="shared" si="3"/>
        <v>1234</v>
      </c>
      <c r="K11" s="20">
        <f t="shared" si="4"/>
        <v>0</v>
      </c>
      <c r="L11" s="20">
        <f t="shared" si="5"/>
        <v>1234</v>
      </c>
      <c r="M11" s="20" t="str">
        <f t="shared" si="6"/>
        <v>Active</v>
      </c>
    </row>
    <row r="12" spans="1:13" x14ac:dyDescent="0.25">
      <c r="A12" s="7">
        <v>1005</v>
      </c>
      <c r="B12" s="7" t="s">
        <v>233</v>
      </c>
      <c r="C12" s="55">
        <v>42231</v>
      </c>
      <c r="D12" s="15">
        <v>1485</v>
      </c>
      <c r="E12" s="15">
        <v>1590</v>
      </c>
      <c r="F12" s="56">
        <f t="shared" si="0"/>
        <v>105</v>
      </c>
      <c r="G12" s="20">
        <f t="shared" si="1"/>
        <v>840</v>
      </c>
      <c r="H12" s="20">
        <f t="shared" si="2"/>
        <v>42</v>
      </c>
      <c r="I12" s="7">
        <v>0</v>
      </c>
      <c r="J12" s="20">
        <f t="shared" si="3"/>
        <v>882</v>
      </c>
      <c r="K12" s="20">
        <f t="shared" si="4"/>
        <v>0</v>
      </c>
      <c r="L12" s="20">
        <f t="shared" si="5"/>
        <v>882</v>
      </c>
      <c r="M12" s="20" t="str">
        <f t="shared" si="6"/>
        <v>Active</v>
      </c>
    </row>
    <row r="13" spans="1:13" x14ac:dyDescent="0.25">
      <c r="A13" s="7">
        <v>1006</v>
      </c>
      <c r="B13" s="7" t="s">
        <v>233</v>
      </c>
      <c r="C13" s="55">
        <v>42232</v>
      </c>
      <c r="D13" s="15">
        <v>1490</v>
      </c>
      <c r="E13" s="15">
        <v>1520</v>
      </c>
      <c r="F13" s="56">
        <f t="shared" si="0"/>
        <v>30</v>
      </c>
      <c r="G13" s="20">
        <f t="shared" si="1"/>
        <v>240</v>
      </c>
      <c r="H13" s="20">
        <f t="shared" si="2"/>
        <v>12</v>
      </c>
      <c r="I13" s="7">
        <v>35000</v>
      </c>
      <c r="J13" s="20">
        <f t="shared" si="3"/>
        <v>35252</v>
      </c>
      <c r="K13" s="20">
        <f t="shared" si="4"/>
        <v>0</v>
      </c>
      <c r="L13" s="20">
        <f t="shared" si="5"/>
        <v>35252</v>
      </c>
      <c r="M13" s="20" t="str">
        <f t="shared" si="6"/>
        <v>Deactive</v>
      </c>
    </row>
    <row r="14" spans="1:13" x14ac:dyDescent="0.25">
      <c r="A14" s="7">
        <v>1007</v>
      </c>
      <c r="B14" s="7" t="s">
        <v>233</v>
      </c>
      <c r="C14" s="55">
        <v>42233</v>
      </c>
      <c r="D14" s="15">
        <v>1495</v>
      </c>
      <c r="E14" s="15">
        <v>1655</v>
      </c>
      <c r="F14" s="56">
        <f t="shared" si="0"/>
        <v>160</v>
      </c>
      <c r="G14" s="20">
        <f t="shared" si="1"/>
        <v>1280</v>
      </c>
      <c r="H14" s="20">
        <f t="shared" si="2"/>
        <v>64</v>
      </c>
      <c r="I14" s="7">
        <v>25000</v>
      </c>
      <c r="J14" s="20">
        <f t="shared" si="3"/>
        <v>26344</v>
      </c>
      <c r="K14" s="20">
        <f t="shared" si="4"/>
        <v>0</v>
      </c>
      <c r="L14" s="20">
        <f t="shared" si="5"/>
        <v>26344</v>
      </c>
      <c r="M14" s="20" t="str">
        <f t="shared" si="6"/>
        <v>Deactive</v>
      </c>
    </row>
    <row r="15" spans="1:13" x14ac:dyDescent="0.25">
      <c r="A15" s="7">
        <v>1008</v>
      </c>
      <c r="B15" s="7" t="s">
        <v>233</v>
      </c>
      <c r="C15" s="55">
        <v>42234</v>
      </c>
      <c r="D15" s="15">
        <v>1500</v>
      </c>
      <c r="E15" s="15">
        <v>1752</v>
      </c>
      <c r="F15" s="56">
        <f t="shared" si="0"/>
        <v>252</v>
      </c>
      <c r="G15" s="20">
        <f t="shared" si="1"/>
        <v>2016</v>
      </c>
      <c r="H15" s="20">
        <f t="shared" si="2"/>
        <v>100.80000000000001</v>
      </c>
      <c r="I15" s="7">
        <v>0</v>
      </c>
      <c r="J15" s="20">
        <f t="shared" si="3"/>
        <v>2116.8000000000002</v>
      </c>
      <c r="K15" s="20">
        <f t="shared" si="4"/>
        <v>0</v>
      </c>
      <c r="L15" s="20">
        <f t="shared" si="5"/>
        <v>2116.8000000000002</v>
      </c>
      <c r="M15" s="20" t="str">
        <f t="shared" si="6"/>
        <v>Active</v>
      </c>
    </row>
    <row r="16" spans="1:13" x14ac:dyDescent="0.25">
      <c r="A16" s="7">
        <v>1009</v>
      </c>
      <c r="B16" s="7" t="s">
        <v>233</v>
      </c>
      <c r="C16" s="55">
        <v>42235</v>
      </c>
      <c r="D16" s="15">
        <v>1505</v>
      </c>
      <c r="E16" s="15">
        <v>1852</v>
      </c>
      <c r="F16" s="56">
        <f t="shared" si="0"/>
        <v>347</v>
      </c>
      <c r="G16" s="20">
        <f t="shared" si="1"/>
        <v>2776</v>
      </c>
      <c r="H16" s="20">
        <f t="shared" si="2"/>
        <v>138.80000000000001</v>
      </c>
      <c r="I16" s="7">
        <v>0</v>
      </c>
      <c r="J16" s="20">
        <f t="shared" si="3"/>
        <v>2914.8</v>
      </c>
      <c r="K16" s="20">
        <f t="shared" si="4"/>
        <v>0</v>
      </c>
      <c r="L16" s="20">
        <f t="shared" si="5"/>
        <v>2914.8</v>
      </c>
      <c r="M16" s="20" t="str">
        <f t="shared" si="6"/>
        <v>Active</v>
      </c>
    </row>
    <row r="17" spans="1:13" x14ac:dyDescent="0.25">
      <c r="A17" s="7">
        <v>1010</v>
      </c>
      <c r="B17" s="7" t="s">
        <v>233</v>
      </c>
      <c r="C17" s="55">
        <v>42236</v>
      </c>
      <c r="D17" s="15">
        <v>1510</v>
      </c>
      <c r="E17" s="15">
        <v>1921</v>
      </c>
      <c r="F17" s="56">
        <f t="shared" si="0"/>
        <v>411</v>
      </c>
      <c r="G17" s="20">
        <f t="shared" si="1"/>
        <v>3288</v>
      </c>
      <c r="H17" s="20">
        <f t="shared" si="2"/>
        <v>164.4</v>
      </c>
      <c r="I17" s="7">
        <v>0</v>
      </c>
      <c r="J17" s="20">
        <f t="shared" si="3"/>
        <v>3452.4</v>
      </c>
      <c r="K17" s="20">
        <f t="shared" si="4"/>
        <v>0</v>
      </c>
      <c r="L17" s="20">
        <f t="shared" si="5"/>
        <v>3452.4</v>
      </c>
      <c r="M17" s="20" t="str">
        <f t="shared" si="6"/>
        <v>Active</v>
      </c>
    </row>
    <row r="18" spans="1:13" x14ac:dyDescent="0.25">
      <c r="A18" s="7">
        <v>1011</v>
      </c>
      <c r="B18" s="7" t="s">
        <v>233</v>
      </c>
      <c r="C18" s="55">
        <v>42237</v>
      </c>
      <c r="D18" s="15">
        <v>1515</v>
      </c>
      <c r="E18" s="15">
        <v>2000</v>
      </c>
      <c r="F18" s="56">
        <f t="shared" si="0"/>
        <v>485</v>
      </c>
      <c r="G18" s="20">
        <f t="shared" si="1"/>
        <v>3880</v>
      </c>
      <c r="H18" s="20">
        <f t="shared" si="2"/>
        <v>194</v>
      </c>
      <c r="I18" s="7">
        <v>0</v>
      </c>
      <c r="J18" s="20">
        <f t="shared" si="3"/>
        <v>4074</v>
      </c>
      <c r="K18" s="20">
        <f t="shared" si="4"/>
        <v>122.22</v>
      </c>
      <c r="L18" s="20">
        <f t="shared" si="5"/>
        <v>4196.22</v>
      </c>
      <c r="M18" s="20" t="str">
        <f t="shared" si="6"/>
        <v>Active</v>
      </c>
    </row>
    <row r="19" spans="1:13" x14ac:dyDescent="0.25">
      <c r="A19" s="7">
        <v>1012</v>
      </c>
      <c r="B19" s="7" t="s">
        <v>233</v>
      </c>
      <c r="C19" s="55">
        <v>42238</v>
      </c>
      <c r="D19" s="15">
        <v>1520</v>
      </c>
      <c r="E19" s="15">
        <v>2500</v>
      </c>
      <c r="F19" s="56">
        <f t="shared" si="0"/>
        <v>980</v>
      </c>
      <c r="G19" s="20">
        <f t="shared" si="1"/>
        <v>7840</v>
      </c>
      <c r="H19" s="20">
        <f t="shared" si="2"/>
        <v>392</v>
      </c>
      <c r="I19" s="7">
        <v>0</v>
      </c>
      <c r="J19" s="20">
        <f t="shared" si="3"/>
        <v>8232</v>
      </c>
      <c r="K19" s="20">
        <f t="shared" si="4"/>
        <v>246.95999999999998</v>
      </c>
      <c r="L19" s="20">
        <f t="shared" si="5"/>
        <v>8478.9599999999991</v>
      </c>
      <c r="M19" s="20" t="str">
        <f t="shared" si="6"/>
        <v>Active</v>
      </c>
    </row>
    <row r="20" spans="1:13" x14ac:dyDescent="0.25">
      <c r="A20" s="7">
        <v>1013</v>
      </c>
      <c r="B20" s="7" t="s">
        <v>233</v>
      </c>
      <c r="C20" s="55">
        <v>42239</v>
      </c>
      <c r="D20" s="15">
        <v>1525</v>
      </c>
      <c r="E20" s="15">
        <v>1700</v>
      </c>
      <c r="F20" s="56">
        <f t="shared" si="0"/>
        <v>175</v>
      </c>
      <c r="G20" s="20">
        <f t="shared" si="1"/>
        <v>1400</v>
      </c>
      <c r="H20" s="20">
        <f t="shared" si="2"/>
        <v>70</v>
      </c>
      <c r="I20" s="7">
        <v>0</v>
      </c>
      <c r="J20" s="20">
        <f t="shared" si="3"/>
        <v>1470</v>
      </c>
      <c r="K20" s="20">
        <f t="shared" si="4"/>
        <v>44.1</v>
      </c>
      <c r="L20" s="20">
        <f t="shared" si="5"/>
        <v>1514.1</v>
      </c>
      <c r="M20" s="20" t="str">
        <f t="shared" si="6"/>
        <v>Active</v>
      </c>
    </row>
    <row r="21" spans="1:13" x14ac:dyDescent="0.25">
      <c r="A21" s="7">
        <v>1014</v>
      </c>
      <c r="B21" s="7" t="s">
        <v>233</v>
      </c>
      <c r="C21" s="55">
        <v>42240</v>
      </c>
      <c r="D21" s="15">
        <v>1530</v>
      </c>
      <c r="E21" s="15">
        <v>1852</v>
      </c>
      <c r="F21" s="56">
        <f t="shared" si="0"/>
        <v>322</v>
      </c>
      <c r="G21" s="20">
        <f t="shared" si="1"/>
        <v>2576</v>
      </c>
      <c r="H21" s="20">
        <f t="shared" si="2"/>
        <v>128.80000000000001</v>
      </c>
      <c r="I21" s="7">
        <v>0</v>
      </c>
      <c r="J21" s="20">
        <f t="shared" si="3"/>
        <v>2704.8</v>
      </c>
      <c r="K21" s="20">
        <f t="shared" si="4"/>
        <v>81.144000000000005</v>
      </c>
      <c r="L21" s="20">
        <f t="shared" si="5"/>
        <v>2785.9440000000004</v>
      </c>
      <c r="M21" s="20" t="str">
        <f t="shared" si="6"/>
        <v>Active</v>
      </c>
    </row>
  </sheetData>
  <customSheetViews>
    <customSheetView guid="{D6BA57A5-118E-4B58-A351-7E1C36DA5B56}" topLeftCell="A7">
      <selection activeCell="K10" sqref="K10"/>
      <pageMargins left="0.7" right="0.7" top="0.75" bottom="0.75" header="0.3" footer="0.3"/>
    </customSheetView>
    <customSheetView guid="{05B8E57A-BB97-41F0-B6FB-606E79293C77}" topLeftCell="A10">
      <selection activeCell="K10" sqref="K10"/>
      <pageMargins left="0.7" right="0.7" top="0.75" bottom="0.75" header="0.3" footer="0.3"/>
    </customSheetView>
    <customSheetView guid="{3C013989-8552-4FE1-BB7E-C88994E2D13D}" topLeftCell="A7">
      <selection activeCell="K10" sqref="K10"/>
      <pageMargins left="0.7" right="0.7" top="0.75" bottom="0.75" header="0.3" footer="0.3"/>
    </customSheetView>
    <customSheetView guid="{75B547B5-834C-4784-8C45-4C35B93C736F}" topLeftCell="A7">
      <selection activeCell="K10" sqref="K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4"/>
  <sheetViews>
    <sheetView workbookViewId="0">
      <selection activeCell="G28" sqref="G28"/>
    </sheetView>
  </sheetViews>
  <sheetFormatPr defaultRowHeight="15" x14ac:dyDescent="0.25"/>
  <cols>
    <col min="2" max="2" width="13.42578125" customWidth="1"/>
    <col min="4" max="4" width="15" customWidth="1"/>
    <col min="5" max="5" width="15.42578125" customWidth="1"/>
    <col min="6" max="6" width="11.28515625" customWidth="1"/>
    <col min="7" max="7" width="11.42578125" customWidth="1"/>
    <col min="12" max="12" width="11.42578125" bestFit="1" customWidth="1"/>
    <col min="13" max="13" width="10.140625" bestFit="1" customWidth="1"/>
  </cols>
  <sheetData>
    <row r="1" spans="1:13" x14ac:dyDescent="0.25">
      <c r="A1" s="266" t="s">
        <v>416</v>
      </c>
      <c r="B1" s="266"/>
      <c r="C1" s="266"/>
      <c r="D1" s="266"/>
      <c r="E1" s="266"/>
      <c r="F1" s="266"/>
      <c r="G1" s="266"/>
      <c r="H1" s="266"/>
      <c r="I1" s="267"/>
    </row>
    <row r="2" spans="1:13" x14ac:dyDescent="0.25">
      <c r="A2" s="266"/>
      <c r="B2" s="266"/>
      <c r="C2" s="266"/>
      <c r="D2" s="266"/>
      <c r="E2" s="266"/>
      <c r="F2" s="266"/>
      <c r="G2" s="266"/>
      <c r="H2" s="266"/>
      <c r="I2" s="267"/>
    </row>
    <row r="3" spans="1:13" x14ac:dyDescent="0.25">
      <c r="A3" s="266"/>
      <c r="B3" s="266"/>
      <c r="C3" s="266"/>
      <c r="D3" s="266"/>
      <c r="E3" s="266"/>
      <c r="F3" s="266"/>
      <c r="G3" s="266"/>
      <c r="H3" s="266"/>
      <c r="I3" s="267"/>
    </row>
    <row r="4" spans="1:13" x14ac:dyDescent="0.25">
      <c r="A4" s="266"/>
      <c r="B4" s="266"/>
      <c r="C4" s="266"/>
      <c r="D4" s="266"/>
      <c r="E4" s="266"/>
      <c r="F4" s="266"/>
      <c r="G4" s="266"/>
      <c r="H4" s="266"/>
      <c r="I4" s="267"/>
    </row>
    <row r="5" spans="1:13" x14ac:dyDescent="0.25">
      <c r="A5" s="9" t="s">
        <v>274</v>
      </c>
      <c r="B5" s="9" t="s">
        <v>208</v>
      </c>
      <c r="C5" s="9" t="s">
        <v>275</v>
      </c>
      <c r="D5" s="9" t="s">
        <v>417</v>
      </c>
      <c r="E5" s="9" t="s">
        <v>418</v>
      </c>
      <c r="F5" s="9" t="s">
        <v>419</v>
      </c>
      <c r="G5" s="9" t="s">
        <v>420</v>
      </c>
      <c r="H5" s="9" t="s">
        <v>49</v>
      </c>
      <c r="I5" s="9" t="s">
        <v>421</v>
      </c>
      <c r="K5" s="9" t="s">
        <v>326</v>
      </c>
      <c r="L5" s="9" t="s">
        <v>422</v>
      </c>
      <c r="M5" s="9" t="s">
        <v>423</v>
      </c>
    </row>
    <row r="6" spans="1:13" x14ac:dyDescent="0.25">
      <c r="A6" s="7">
        <v>1</v>
      </c>
      <c r="B6" s="7" t="s">
        <v>424</v>
      </c>
      <c r="C6" s="7">
        <v>14</v>
      </c>
      <c r="D6" s="7">
        <f>IFERROR(VLOOKUP(B6, $K$6:$M$21, 2, 0), " ")</f>
        <v>7500</v>
      </c>
      <c r="E6" s="128">
        <f>IFERROR(C6*D6, " ")</f>
        <v>105000</v>
      </c>
      <c r="F6" s="128">
        <f>IFERROR(VLOOKUP(B6, $K$6:$M$21, 3, 0), " ")</f>
        <v>6500</v>
      </c>
      <c r="G6" s="128">
        <f>IFERROR(C6*F6, " ")</f>
        <v>91000</v>
      </c>
      <c r="H6" s="128">
        <f>IF(G6&gt;E6, G6-E6, 0)</f>
        <v>0</v>
      </c>
      <c r="I6" s="128">
        <f>IF(E6&gt;G6, E6-G6, 0)</f>
        <v>14000</v>
      </c>
      <c r="K6" s="2" t="s">
        <v>424</v>
      </c>
      <c r="L6" s="2">
        <v>7500</v>
      </c>
      <c r="M6" s="2">
        <v>6500</v>
      </c>
    </row>
    <row r="7" spans="1:13" x14ac:dyDescent="0.25">
      <c r="A7" s="7">
        <v>2</v>
      </c>
      <c r="B7" s="7" t="s">
        <v>425</v>
      </c>
      <c r="C7" s="7">
        <v>15</v>
      </c>
      <c r="D7" s="7">
        <f t="shared" ref="D7:D22" si="0">IFERROR(VLOOKUP(B7, $K$6:$M$21, 2, 0), " ")</f>
        <v>18000</v>
      </c>
      <c r="E7" s="128">
        <f t="shared" ref="E7:E22" si="1">IFERROR(C7*D7, " ")</f>
        <v>270000</v>
      </c>
      <c r="F7" s="128">
        <f t="shared" ref="F7:F22" si="2">IFERROR(VLOOKUP(B7, $K$6:$M$21, 3, 0), " ")</f>
        <v>19500</v>
      </c>
      <c r="G7" s="128">
        <f t="shared" ref="G7:G22" si="3">IFERROR(C7*F7, " ")</f>
        <v>292500</v>
      </c>
      <c r="H7" s="128">
        <f t="shared" ref="H7:H22" si="4">IF(G7&gt;E7, G7-E7, 0)</f>
        <v>22500</v>
      </c>
      <c r="I7" s="128">
        <f t="shared" ref="I7:I22" si="5">IF(E7&gt;G7, E7-G7, 0)</f>
        <v>0</v>
      </c>
      <c r="K7" s="2" t="s">
        <v>425</v>
      </c>
      <c r="L7" s="2">
        <v>18000</v>
      </c>
      <c r="M7" s="2">
        <v>19500</v>
      </c>
    </row>
    <row r="8" spans="1:13" x14ac:dyDescent="0.25">
      <c r="A8" s="7">
        <v>3</v>
      </c>
      <c r="B8" s="7" t="s">
        <v>426</v>
      </c>
      <c r="C8" s="7">
        <v>25</v>
      </c>
      <c r="D8" s="7">
        <f t="shared" si="0"/>
        <v>13000</v>
      </c>
      <c r="E8" s="128">
        <f t="shared" si="1"/>
        <v>325000</v>
      </c>
      <c r="F8" s="128">
        <f t="shared" si="2"/>
        <v>14500</v>
      </c>
      <c r="G8" s="128">
        <f t="shared" si="3"/>
        <v>362500</v>
      </c>
      <c r="H8" s="128">
        <f t="shared" si="4"/>
        <v>37500</v>
      </c>
      <c r="I8" s="128">
        <f t="shared" si="5"/>
        <v>0</v>
      </c>
      <c r="K8" s="2" t="s">
        <v>426</v>
      </c>
      <c r="L8" s="2">
        <v>13000</v>
      </c>
      <c r="M8" s="2">
        <v>14500</v>
      </c>
    </row>
    <row r="9" spans="1:13" x14ac:dyDescent="0.25">
      <c r="A9" s="7">
        <v>4</v>
      </c>
      <c r="B9" s="7" t="s">
        <v>427</v>
      </c>
      <c r="C9" s="7">
        <v>10</v>
      </c>
      <c r="D9" s="7">
        <f t="shared" si="0"/>
        <v>65000</v>
      </c>
      <c r="E9" s="128">
        <f t="shared" si="1"/>
        <v>650000</v>
      </c>
      <c r="F9" s="128">
        <f t="shared" si="2"/>
        <v>71000</v>
      </c>
      <c r="G9" s="128">
        <f t="shared" si="3"/>
        <v>710000</v>
      </c>
      <c r="H9" s="128">
        <f t="shared" si="4"/>
        <v>60000</v>
      </c>
      <c r="I9" s="128">
        <f t="shared" si="5"/>
        <v>0</v>
      </c>
      <c r="K9" s="2" t="s">
        <v>427</v>
      </c>
      <c r="L9" s="2">
        <v>65000</v>
      </c>
      <c r="M9" s="2">
        <v>71000</v>
      </c>
    </row>
    <row r="10" spans="1:13" x14ac:dyDescent="0.25">
      <c r="A10" s="7">
        <v>5</v>
      </c>
      <c r="B10" s="7" t="s">
        <v>424</v>
      </c>
      <c r="C10" s="7">
        <v>25</v>
      </c>
      <c r="D10" s="7">
        <f t="shared" si="0"/>
        <v>7500</v>
      </c>
      <c r="E10" s="128">
        <f t="shared" si="1"/>
        <v>187500</v>
      </c>
      <c r="F10" s="128">
        <f t="shared" si="2"/>
        <v>6500</v>
      </c>
      <c r="G10" s="128">
        <f t="shared" si="3"/>
        <v>162500</v>
      </c>
      <c r="H10" s="128">
        <f t="shared" si="4"/>
        <v>0</v>
      </c>
      <c r="I10" s="128">
        <f t="shared" si="5"/>
        <v>25000</v>
      </c>
      <c r="K10" s="2"/>
      <c r="L10" s="2"/>
      <c r="M10" s="2"/>
    </row>
    <row r="11" spans="1:13" x14ac:dyDescent="0.25">
      <c r="A11" s="7">
        <v>6</v>
      </c>
      <c r="B11" s="7"/>
      <c r="C11" s="7"/>
      <c r="D11" s="7" t="str">
        <f t="shared" si="0"/>
        <v xml:space="preserve"> </v>
      </c>
      <c r="E11" s="128" t="str">
        <f t="shared" si="1"/>
        <v xml:space="preserve"> </v>
      </c>
      <c r="F11" s="128" t="str">
        <f t="shared" si="2"/>
        <v xml:space="preserve"> </v>
      </c>
      <c r="G11" s="128" t="str">
        <f t="shared" si="3"/>
        <v xml:space="preserve"> </v>
      </c>
      <c r="H11" s="128">
        <f t="shared" si="4"/>
        <v>0</v>
      </c>
      <c r="I11" s="128">
        <f t="shared" si="5"/>
        <v>0</v>
      </c>
      <c r="K11" s="2"/>
      <c r="L11" s="2"/>
      <c r="M11" s="2"/>
    </row>
    <row r="12" spans="1:13" x14ac:dyDescent="0.25">
      <c r="A12" s="7">
        <v>7</v>
      </c>
      <c r="B12" s="7"/>
      <c r="C12" s="7"/>
      <c r="D12" s="7" t="str">
        <f t="shared" si="0"/>
        <v xml:space="preserve"> </v>
      </c>
      <c r="E12" s="128" t="str">
        <f t="shared" si="1"/>
        <v xml:space="preserve"> </v>
      </c>
      <c r="F12" s="128" t="str">
        <f t="shared" si="2"/>
        <v xml:space="preserve"> </v>
      </c>
      <c r="G12" s="128" t="str">
        <f t="shared" si="3"/>
        <v xml:space="preserve"> </v>
      </c>
      <c r="H12" s="128">
        <f t="shared" si="4"/>
        <v>0</v>
      </c>
      <c r="I12" s="128">
        <f t="shared" si="5"/>
        <v>0</v>
      </c>
      <c r="K12" s="2"/>
      <c r="L12" s="2"/>
      <c r="M12" s="2"/>
    </row>
    <row r="13" spans="1:13" x14ac:dyDescent="0.25">
      <c r="A13" s="7">
        <v>8</v>
      </c>
      <c r="B13" s="7"/>
      <c r="C13" s="7"/>
      <c r="D13" s="7" t="str">
        <f t="shared" si="0"/>
        <v xml:space="preserve"> </v>
      </c>
      <c r="E13" s="128" t="str">
        <f t="shared" si="1"/>
        <v xml:space="preserve"> </v>
      </c>
      <c r="F13" s="128" t="str">
        <f t="shared" si="2"/>
        <v xml:space="preserve"> </v>
      </c>
      <c r="G13" s="128" t="str">
        <f t="shared" si="3"/>
        <v xml:space="preserve"> </v>
      </c>
      <c r="H13" s="128">
        <f t="shared" si="4"/>
        <v>0</v>
      </c>
      <c r="I13" s="128">
        <f t="shared" si="5"/>
        <v>0</v>
      </c>
      <c r="K13" s="2"/>
      <c r="L13" s="2"/>
      <c r="M13" s="2"/>
    </row>
    <row r="14" spans="1:13" x14ac:dyDescent="0.25">
      <c r="A14" s="7">
        <v>9</v>
      </c>
      <c r="B14" s="7"/>
      <c r="C14" s="7"/>
      <c r="D14" s="7" t="str">
        <f t="shared" si="0"/>
        <v xml:space="preserve"> </v>
      </c>
      <c r="E14" s="128" t="str">
        <f t="shared" si="1"/>
        <v xml:space="preserve"> </v>
      </c>
      <c r="F14" s="128" t="str">
        <f t="shared" si="2"/>
        <v xml:space="preserve"> </v>
      </c>
      <c r="G14" s="128" t="str">
        <f t="shared" si="3"/>
        <v xml:space="preserve"> </v>
      </c>
      <c r="H14" s="128">
        <f t="shared" si="4"/>
        <v>0</v>
      </c>
      <c r="I14" s="128">
        <f t="shared" si="5"/>
        <v>0</v>
      </c>
      <c r="K14" s="2"/>
      <c r="L14" s="2"/>
      <c r="M14" s="2"/>
    </row>
    <row r="15" spans="1:13" x14ac:dyDescent="0.25">
      <c r="A15" s="7">
        <v>10</v>
      </c>
      <c r="B15" s="7"/>
      <c r="C15" s="7"/>
      <c r="D15" s="7" t="str">
        <f t="shared" si="0"/>
        <v xml:space="preserve"> </v>
      </c>
      <c r="E15" s="128" t="str">
        <f t="shared" si="1"/>
        <v xml:space="preserve"> </v>
      </c>
      <c r="F15" s="128" t="str">
        <f t="shared" si="2"/>
        <v xml:space="preserve"> </v>
      </c>
      <c r="G15" s="128" t="str">
        <f t="shared" si="3"/>
        <v xml:space="preserve"> </v>
      </c>
      <c r="H15" s="128">
        <f t="shared" si="4"/>
        <v>0</v>
      </c>
      <c r="I15" s="128">
        <f t="shared" si="5"/>
        <v>0</v>
      </c>
      <c r="K15" s="2"/>
      <c r="L15" s="2"/>
      <c r="M15" s="2"/>
    </row>
    <row r="16" spans="1:13" x14ac:dyDescent="0.25">
      <c r="A16" s="7">
        <v>11</v>
      </c>
      <c r="B16" s="7"/>
      <c r="C16" s="7"/>
      <c r="D16" s="7" t="str">
        <f t="shared" si="0"/>
        <v xml:space="preserve"> </v>
      </c>
      <c r="E16" s="128" t="str">
        <f t="shared" si="1"/>
        <v xml:space="preserve"> </v>
      </c>
      <c r="F16" s="128" t="str">
        <f t="shared" si="2"/>
        <v xml:space="preserve"> </v>
      </c>
      <c r="G16" s="128" t="str">
        <f t="shared" si="3"/>
        <v xml:space="preserve"> </v>
      </c>
      <c r="H16" s="128">
        <f t="shared" si="4"/>
        <v>0</v>
      </c>
      <c r="I16" s="128">
        <f t="shared" si="5"/>
        <v>0</v>
      </c>
      <c r="K16" s="2"/>
      <c r="L16" s="2"/>
      <c r="M16" s="2"/>
    </row>
    <row r="17" spans="1:13" x14ac:dyDescent="0.25">
      <c r="A17" s="7">
        <v>12</v>
      </c>
      <c r="B17" s="7"/>
      <c r="C17" s="7"/>
      <c r="D17" s="7" t="str">
        <f t="shared" si="0"/>
        <v xml:space="preserve"> </v>
      </c>
      <c r="E17" s="128" t="str">
        <f t="shared" si="1"/>
        <v xml:space="preserve"> </v>
      </c>
      <c r="F17" s="128" t="str">
        <f t="shared" si="2"/>
        <v xml:space="preserve"> </v>
      </c>
      <c r="G17" s="128" t="str">
        <f t="shared" si="3"/>
        <v xml:space="preserve"> </v>
      </c>
      <c r="H17" s="128">
        <f t="shared" si="4"/>
        <v>0</v>
      </c>
      <c r="I17" s="128">
        <f t="shared" si="5"/>
        <v>0</v>
      </c>
      <c r="K17" s="2"/>
      <c r="L17" s="2"/>
      <c r="M17" s="2"/>
    </row>
    <row r="18" spans="1:13" x14ac:dyDescent="0.25">
      <c r="A18" s="7">
        <v>13</v>
      </c>
      <c r="B18" s="7"/>
      <c r="C18" s="7"/>
      <c r="D18" s="7" t="str">
        <f t="shared" si="0"/>
        <v xml:space="preserve"> </v>
      </c>
      <c r="E18" s="128" t="str">
        <f t="shared" si="1"/>
        <v xml:space="preserve"> </v>
      </c>
      <c r="F18" s="128" t="str">
        <f t="shared" si="2"/>
        <v xml:space="preserve"> </v>
      </c>
      <c r="G18" s="128" t="str">
        <f t="shared" si="3"/>
        <v xml:space="preserve"> </v>
      </c>
      <c r="H18" s="128">
        <f t="shared" si="4"/>
        <v>0</v>
      </c>
      <c r="I18" s="128">
        <f t="shared" si="5"/>
        <v>0</v>
      </c>
      <c r="K18" s="2"/>
      <c r="L18" s="2"/>
      <c r="M18" s="2"/>
    </row>
    <row r="19" spans="1:13" x14ac:dyDescent="0.25">
      <c r="A19" s="7">
        <v>14</v>
      </c>
      <c r="B19" s="7"/>
      <c r="C19" s="7"/>
      <c r="D19" s="7" t="str">
        <f t="shared" si="0"/>
        <v xml:space="preserve"> </v>
      </c>
      <c r="E19" s="128" t="str">
        <f t="shared" si="1"/>
        <v xml:space="preserve"> </v>
      </c>
      <c r="F19" s="128" t="str">
        <f t="shared" si="2"/>
        <v xml:space="preserve"> </v>
      </c>
      <c r="G19" s="128" t="str">
        <f t="shared" si="3"/>
        <v xml:space="preserve"> </v>
      </c>
      <c r="H19" s="128">
        <f t="shared" si="4"/>
        <v>0</v>
      </c>
      <c r="I19" s="128">
        <f t="shared" si="5"/>
        <v>0</v>
      </c>
      <c r="K19" s="2"/>
      <c r="L19" s="2"/>
      <c r="M19" s="2"/>
    </row>
    <row r="20" spans="1:13" x14ac:dyDescent="0.25">
      <c r="A20" s="7">
        <v>15</v>
      </c>
      <c r="B20" s="7"/>
      <c r="C20" s="7"/>
      <c r="D20" s="7" t="str">
        <f t="shared" si="0"/>
        <v xml:space="preserve"> </v>
      </c>
      <c r="E20" s="128" t="str">
        <f t="shared" si="1"/>
        <v xml:space="preserve"> </v>
      </c>
      <c r="F20" s="128" t="str">
        <f t="shared" si="2"/>
        <v xml:space="preserve"> </v>
      </c>
      <c r="G20" s="128" t="str">
        <f t="shared" si="3"/>
        <v xml:space="preserve"> </v>
      </c>
      <c r="H20" s="128">
        <f t="shared" si="4"/>
        <v>0</v>
      </c>
      <c r="I20" s="128">
        <f t="shared" si="5"/>
        <v>0</v>
      </c>
      <c r="K20" s="2"/>
      <c r="L20" s="2"/>
      <c r="M20" s="2"/>
    </row>
    <row r="21" spans="1:13" x14ac:dyDescent="0.25">
      <c r="A21" s="7">
        <v>16</v>
      </c>
      <c r="B21" s="7"/>
      <c r="C21" s="7"/>
      <c r="D21" s="7" t="str">
        <f t="shared" si="0"/>
        <v xml:space="preserve"> </v>
      </c>
      <c r="E21" s="128" t="str">
        <f t="shared" si="1"/>
        <v xml:space="preserve"> </v>
      </c>
      <c r="F21" s="128" t="str">
        <f t="shared" si="2"/>
        <v xml:space="preserve"> </v>
      </c>
      <c r="G21" s="128" t="str">
        <f t="shared" si="3"/>
        <v xml:space="preserve"> </v>
      </c>
      <c r="H21" s="128">
        <f t="shared" si="4"/>
        <v>0</v>
      </c>
      <c r="I21" s="128">
        <f t="shared" si="5"/>
        <v>0</v>
      </c>
      <c r="K21" s="2"/>
      <c r="L21" s="2"/>
      <c r="M21" s="2"/>
    </row>
    <row r="22" spans="1:13" x14ac:dyDescent="0.25">
      <c r="A22" s="7">
        <v>17</v>
      </c>
      <c r="B22" s="7"/>
      <c r="C22" s="7"/>
      <c r="D22" s="7" t="str">
        <f t="shared" si="0"/>
        <v xml:space="preserve"> </v>
      </c>
      <c r="E22" s="128" t="str">
        <f t="shared" si="1"/>
        <v xml:space="preserve"> </v>
      </c>
      <c r="F22" s="128" t="str">
        <f t="shared" si="2"/>
        <v xml:space="preserve"> </v>
      </c>
      <c r="G22" s="128" t="str">
        <f t="shared" si="3"/>
        <v xml:space="preserve"> </v>
      </c>
      <c r="H22" s="128">
        <f t="shared" si="4"/>
        <v>0</v>
      </c>
      <c r="I22" s="128">
        <f t="shared" si="5"/>
        <v>0</v>
      </c>
    </row>
    <row r="23" spans="1:13" x14ac:dyDescent="0.25">
      <c r="A23" s="7"/>
    </row>
    <row r="24" spans="1:13" x14ac:dyDescent="0.25">
      <c r="A24" s="135" t="s">
        <v>37</v>
      </c>
      <c r="B24" s="135"/>
      <c r="C24" s="135">
        <f>SUM(C6:C22)</f>
        <v>89</v>
      </c>
      <c r="D24" s="135"/>
      <c r="E24" s="135">
        <f t="shared" ref="E24:I24" si="6">SUM(E6:E22)</f>
        <v>1537500</v>
      </c>
      <c r="F24" s="135"/>
      <c r="G24" s="135">
        <f t="shared" si="6"/>
        <v>1618500</v>
      </c>
      <c r="H24" s="135">
        <f t="shared" si="6"/>
        <v>120000</v>
      </c>
      <c r="I24" s="135">
        <f t="shared" si="6"/>
        <v>39000</v>
      </c>
    </row>
  </sheetData>
  <mergeCells count="1">
    <mergeCell ref="A1:I4"/>
  </mergeCells>
  <dataValidations count="1">
    <dataValidation type="list" allowBlank="1" showInputMessage="1" showErrorMessage="1" sqref="B6:B22" xr:uid="{00000000-0002-0000-1400-000000000000}">
      <formula1>$K$6:$K$9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C5:K18"/>
  <sheetViews>
    <sheetView workbookViewId="0">
      <selection activeCell="K17" sqref="K17"/>
    </sheetView>
  </sheetViews>
  <sheetFormatPr defaultRowHeight="15" x14ac:dyDescent="0.25"/>
  <cols>
    <col min="3" max="3" width="9.7109375" customWidth="1"/>
    <col min="8" max="9" width="9.7109375" bestFit="1" customWidth="1"/>
    <col min="10" max="10" width="10.7109375" bestFit="1" customWidth="1"/>
  </cols>
  <sheetData>
    <row r="5" spans="3:11" x14ac:dyDescent="0.25">
      <c r="C5" t="s">
        <v>45</v>
      </c>
      <c r="D5" t="s">
        <v>208</v>
      </c>
      <c r="E5" t="s">
        <v>34</v>
      </c>
    </row>
    <row r="6" spans="3:11" x14ac:dyDescent="0.25">
      <c r="C6" s="53">
        <v>42227</v>
      </c>
      <c r="D6" t="s">
        <v>234</v>
      </c>
      <c r="E6">
        <v>2000</v>
      </c>
    </row>
    <row r="7" spans="3:11" x14ac:dyDescent="0.25">
      <c r="C7" s="53">
        <v>42229</v>
      </c>
      <c r="D7" t="s">
        <v>235</v>
      </c>
      <c r="E7">
        <v>4000</v>
      </c>
    </row>
    <row r="12" spans="3:11" x14ac:dyDescent="0.25">
      <c r="H12" t="s">
        <v>429</v>
      </c>
      <c r="I12" t="s">
        <v>430</v>
      </c>
      <c r="J12" t="s">
        <v>431</v>
      </c>
      <c r="K12" t="s">
        <v>432</v>
      </c>
    </row>
    <row r="13" spans="3:11" x14ac:dyDescent="0.25">
      <c r="H13" s="53">
        <v>45558</v>
      </c>
      <c r="I13" s="53">
        <v>45292</v>
      </c>
      <c r="J13" s="53">
        <v>45657</v>
      </c>
      <c r="K13" t="b">
        <f>H13&gt;I13</f>
        <v>1</v>
      </c>
    </row>
    <row r="14" spans="3:11" x14ac:dyDescent="0.25">
      <c r="H14" s="53">
        <v>45558</v>
      </c>
      <c r="K14" t="b">
        <f>AND(H14&gt;I13,H14&lt;J13)</f>
        <v>1</v>
      </c>
    </row>
    <row r="15" spans="3:11" x14ac:dyDescent="0.25">
      <c r="H15" s="53">
        <v>45558</v>
      </c>
      <c r="K15" t="b">
        <f>OR(H15&gt;I13,H15&lt;J13+60)</f>
        <v>1</v>
      </c>
    </row>
    <row r="16" spans="3:11" x14ac:dyDescent="0.25">
      <c r="H16" s="53">
        <v>45558</v>
      </c>
      <c r="K16" t="b">
        <f>NOT(H16&gt;I13)</f>
        <v>0</v>
      </c>
    </row>
    <row r="17" spans="8:11" x14ac:dyDescent="0.25">
      <c r="H17" s="53">
        <v>45558</v>
      </c>
      <c r="K17" t="b">
        <f>NOT(I13&gt;H17)</f>
        <v>1</v>
      </c>
    </row>
    <row r="18" spans="8:11" x14ac:dyDescent="0.25">
      <c r="H18" s="53"/>
    </row>
  </sheetData>
  <customSheetViews>
    <customSheetView guid="{D6BA57A5-118E-4B58-A351-7E1C36DA5B56}">
      <selection activeCell="I15" sqref="I15"/>
      <pageMargins left="0.7" right="0.7" top="0.75" bottom="0.75" header="0.3" footer="0.3"/>
    </customSheetView>
    <customSheetView guid="{05B8E57A-BB97-41F0-B6FB-606E79293C77}">
      <selection activeCell="E16" sqref="E16"/>
      <pageMargins left="0.7" right="0.7" top="0.75" bottom="0.75" header="0.3" footer="0.3"/>
    </customSheetView>
    <customSheetView guid="{3C013989-8552-4FE1-BB7E-C88994E2D13D}">
      <selection activeCell="I15" sqref="I15"/>
      <pageMargins left="0.7" right="0.7" top="0.75" bottom="0.75" header="0.3" footer="0.3"/>
    </customSheetView>
    <customSheetView guid="{75B547B5-834C-4784-8C45-4C35B93C736F}">
      <selection activeCell="I15" sqref="I15"/>
      <pageMargins left="0.7" right="0.7" top="0.75" bottom="0.75" header="0.3" footer="0.3"/>
    </customSheetView>
  </customSheetViews>
  <conditionalFormatting sqref="H13">
    <cfRule type="expression" dxfId="35" priority="5">
      <formula>$K$13</formula>
    </cfRule>
  </conditionalFormatting>
  <conditionalFormatting sqref="H14">
    <cfRule type="expression" dxfId="34" priority="4">
      <formula>$K$14</formula>
    </cfRule>
  </conditionalFormatting>
  <conditionalFormatting sqref="H15">
    <cfRule type="expression" dxfId="33" priority="2">
      <formula>$K$15</formula>
    </cfRule>
  </conditionalFormatting>
  <conditionalFormatting sqref="H16">
    <cfRule type="expression" dxfId="32" priority="3">
      <formula>$K$16</formula>
    </cfRule>
  </conditionalFormatting>
  <conditionalFormatting sqref="H17">
    <cfRule type="expression" dxfId="31" priority="1">
      <formula>$K$17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/>
  <dimension ref="A1:B14"/>
  <sheetViews>
    <sheetView workbookViewId="0">
      <selection activeCell="I6" sqref="I6"/>
    </sheetView>
  </sheetViews>
  <sheetFormatPr defaultRowHeight="15" x14ac:dyDescent="0.25"/>
  <cols>
    <col min="1" max="1" width="9.140625" customWidth="1"/>
    <col min="2" max="2" width="12.42578125" customWidth="1"/>
  </cols>
  <sheetData>
    <row r="1" spans="1:2" x14ac:dyDescent="0.25">
      <c r="A1" s="78" t="s">
        <v>326</v>
      </c>
      <c r="B1" s="78" t="s">
        <v>237</v>
      </c>
    </row>
    <row r="2" spans="1:2" x14ac:dyDescent="0.25">
      <c r="A2" t="s">
        <v>276</v>
      </c>
      <c r="B2">
        <v>3400</v>
      </c>
    </row>
    <row r="3" spans="1:2" x14ac:dyDescent="0.25">
      <c r="A3" t="s">
        <v>276</v>
      </c>
      <c r="B3">
        <v>3500</v>
      </c>
    </row>
    <row r="4" spans="1:2" x14ac:dyDescent="0.25">
      <c r="A4" t="s">
        <v>276</v>
      </c>
      <c r="B4">
        <v>3600</v>
      </c>
    </row>
    <row r="5" spans="1:2" x14ac:dyDescent="0.25">
      <c r="A5" t="s">
        <v>276</v>
      </c>
      <c r="B5">
        <v>3700</v>
      </c>
    </row>
    <row r="6" spans="1:2" x14ac:dyDescent="0.25">
      <c r="A6" t="s">
        <v>276</v>
      </c>
      <c r="B6">
        <v>3800</v>
      </c>
    </row>
    <row r="7" spans="1:2" x14ac:dyDescent="0.25">
      <c r="A7" t="s">
        <v>276</v>
      </c>
      <c r="B7">
        <v>3900</v>
      </c>
    </row>
    <row r="8" spans="1:2" x14ac:dyDescent="0.25">
      <c r="A8" t="s">
        <v>209</v>
      </c>
      <c r="B8">
        <v>400</v>
      </c>
    </row>
    <row r="9" spans="1:2" x14ac:dyDescent="0.25">
      <c r="A9" t="s">
        <v>209</v>
      </c>
      <c r="B9">
        <v>400</v>
      </c>
    </row>
    <row r="10" spans="1:2" x14ac:dyDescent="0.25">
      <c r="A10" t="s">
        <v>209</v>
      </c>
      <c r="B10">
        <v>400</v>
      </c>
    </row>
    <row r="11" spans="1:2" x14ac:dyDescent="0.25">
      <c r="A11" t="s">
        <v>209</v>
      </c>
      <c r="B11">
        <v>430</v>
      </c>
    </row>
    <row r="12" spans="1:2" x14ac:dyDescent="0.25">
      <c r="A12" t="s">
        <v>209</v>
      </c>
      <c r="B12">
        <v>540</v>
      </c>
    </row>
    <row r="13" spans="1:2" x14ac:dyDescent="0.25">
      <c r="A13" t="s">
        <v>277</v>
      </c>
      <c r="B13">
        <v>3500</v>
      </c>
    </row>
    <row r="14" spans="1:2" x14ac:dyDescent="0.25">
      <c r="A14" t="s">
        <v>277</v>
      </c>
      <c r="B14">
        <v>7000</v>
      </c>
    </row>
  </sheetData>
  <sortState xmlns:xlrd2="http://schemas.microsoft.com/office/spreadsheetml/2017/richdata2" ref="A2:B12">
    <sortCondition ref="A2:A12"/>
  </sortState>
  <customSheetViews>
    <customSheetView guid="{D6BA57A5-118E-4B58-A351-7E1C36DA5B56}">
      <selection activeCell="D25" sqref="D25"/>
      <pageMargins left="0.7" right="0.7" top="0.75" bottom="0.75" header="0.3" footer="0.3"/>
    </customSheetView>
    <customSheetView guid="{05B8E57A-BB97-41F0-B6FB-606E79293C77}">
      <selection activeCell="D25" sqref="D2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6"/>
  <sheetViews>
    <sheetView workbookViewId="0">
      <selection activeCell="F29" sqref="F29"/>
    </sheetView>
  </sheetViews>
  <sheetFormatPr defaultRowHeight="15" x14ac:dyDescent="0.25"/>
  <cols>
    <col min="1" max="1" width="5.5703125" customWidth="1"/>
    <col min="2" max="2" width="8.140625" customWidth="1"/>
    <col min="3" max="3" width="7.7109375" customWidth="1"/>
    <col min="4" max="5" width="12" customWidth="1"/>
    <col min="6" max="6" width="22.7109375" bestFit="1" customWidth="1"/>
    <col min="7" max="7" width="12.42578125" customWidth="1"/>
    <col min="8" max="8" width="17.28515625" customWidth="1"/>
    <col min="9" max="9" width="39" customWidth="1"/>
  </cols>
  <sheetData>
    <row r="1" spans="1:9" x14ac:dyDescent="0.25">
      <c r="A1" s="268" t="s">
        <v>433</v>
      </c>
      <c r="B1" s="269"/>
      <c r="C1" s="269"/>
      <c r="D1" s="269"/>
      <c r="E1" s="269"/>
      <c r="F1" s="269"/>
      <c r="G1" s="269"/>
      <c r="H1" s="269"/>
      <c r="I1" s="270"/>
    </row>
    <row r="2" spans="1:9" x14ac:dyDescent="0.25">
      <c r="A2" s="271"/>
      <c r="B2" s="272"/>
      <c r="C2" s="272"/>
      <c r="D2" s="272"/>
      <c r="E2" s="272"/>
      <c r="F2" s="272"/>
      <c r="G2" s="272"/>
      <c r="H2" s="272"/>
      <c r="I2" s="273"/>
    </row>
    <row r="3" spans="1:9" x14ac:dyDescent="0.25">
      <c r="A3" s="271"/>
      <c r="B3" s="272"/>
      <c r="C3" s="272"/>
      <c r="D3" s="272"/>
      <c r="E3" s="272"/>
      <c r="F3" s="272"/>
      <c r="G3" s="272"/>
      <c r="H3" s="272"/>
      <c r="I3" s="273"/>
    </row>
    <row r="4" spans="1:9" x14ac:dyDescent="0.25">
      <c r="A4" s="271"/>
      <c r="B4" s="272"/>
      <c r="C4" s="272"/>
      <c r="D4" s="272"/>
      <c r="E4" s="272"/>
      <c r="F4" s="272"/>
      <c r="G4" s="272"/>
      <c r="H4" s="272"/>
      <c r="I4" s="273"/>
    </row>
    <row r="5" spans="1:9" x14ac:dyDescent="0.25">
      <c r="A5" s="274"/>
      <c r="B5" s="275"/>
      <c r="C5" s="275"/>
      <c r="D5" s="275"/>
      <c r="E5" s="275"/>
      <c r="F5" s="275"/>
      <c r="G5" s="275"/>
      <c r="H5" s="275"/>
      <c r="I5" s="276"/>
    </row>
    <row r="6" spans="1:9" ht="30" x14ac:dyDescent="0.25">
      <c r="A6" s="138" t="s">
        <v>50</v>
      </c>
      <c r="B6" s="138" t="s">
        <v>0</v>
      </c>
      <c r="C6" s="138" t="s">
        <v>124</v>
      </c>
      <c r="D6" s="138" t="s">
        <v>125</v>
      </c>
      <c r="E6" s="139" t="s">
        <v>434</v>
      </c>
      <c r="F6" s="138" t="s">
        <v>435</v>
      </c>
      <c r="G6" s="138" t="s">
        <v>436</v>
      </c>
      <c r="H6" s="138" t="s">
        <v>95</v>
      </c>
      <c r="I6" s="138" t="s">
        <v>437</v>
      </c>
    </row>
    <row r="7" spans="1:9" x14ac:dyDescent="0.25">
      <c r="A7" s="7">
        <v>1001</v>
      </c>
      <c r="B7" s="7" t="s">
        <v>12</v>
      </c>
      <c r="C7" s="7" t="s">
        <v>40</v>
      </c>
      <c r="D7" s="7">
        <v>70000</v>
      </c>
      <c r="E7" s="7">
        <v>50</v>
      </c>
      <c r="F7" s="140">
        <f>IF(E7&gt;=90, D7, IF(E7&gt;=80, D7/2, IF(E7&gt;=60, D7/4, 0)))</f>
        <v>0</v>
      </c>
      <c r="G7" s="140" t="str">
        <f>IF(F7&gt;0, "Awarded", "--")</f>
        <v>--</v>
      </c>
      <c r="H7" s="140" t="str">
        <f>IF(E7&gt;=90, "Punctual", "--")</f>
        <v>--</v>
      </c>
      <c r="I7" s="140" t="str">
        <f>IF(H7="Punctual", "You have been promoted", "---")</f>
        <v>---</v>
      </c>
    </row>
    <row r="8" spans="1:9" x14ac:dyDescent="0.25">
      <c r="A8" s="7">
        <v>1002</v>
      </c>
      <c r="B8" s="7" t="s">
        <v>11</v>
      </c>
      <c r="C8" s="7" t="s">
        <v>40</v>
      </c>
      <c r="D8" s="7">
        <v>55000</v>
      </c>
      <c r="E8" s="7" t="s">
        <v>438</v>
      </c>
      <c r="F8" s="140">
        <f t="shared" ref="F8:F9" si="0">IF(E8&gt;=90, D8, IF(E8&gt;=80, D8/2, IF(E8&gt;=60, D8/4, 0)))</f>
        <v>55000</v>
      </c>
      <c r="G8" s="140" t="str">
        <f t="shared" ref="G8:G9" si="1">IF(F8&gt;0, "Awarded", "--")</f>
        <v>Awarded</v>
      </c>
      <c r="H8" s="140" t="str">
        <f t="shared" ref="H8:H9" si="2">IF(E8&gt;=90, "Punctual", "--")</f>
        <v>Punctual</v>
      </c>
      <c r="I8" s="140" t="str">
        <f t="shared" ref="I8:I9" si="3">IF(H8="Punctual", "You have been promoted", "---")</f>
        <v>You have been promoted</v>
      </c>
    </row>
    <row r="9" spans="1:9" x14ac:dyDescent="0.25">
      <c r="A9" s="7">
        <v>1003</v>
      </c>
      <c r="B9" s="7" t="s">
        <v>59</v>
      </c>
      <c r="C9" s="7" t="s">
        <v>41</v>
      </c>
      <c r="D9" s="7">
        <v>60000</v>
      </c>
      <c r="E9" s="7">
        <v>91</v>
      </c>
      <c r="F9" s="140">
        <f t="shared" si="0"/>
        <v>60000</v>
      </c>
      <c r="G9" s="140" t="str">
        <f t="shared" si="1"/>
        <v>Awarded</v>
      </c>
      <c r="H9" s="140" t="str">
        <f t="shared" si="2"/>
        <v>Punctual</v>
      </c>
      <c r="I9" s="140" t="str">
        <f t="shared" si="3"/>
        <v>You have been promoted</v>
      </c>
    </row>
    <row r="14" spans="1:9" x14ac:dyDescent="0.25">
      <c r="D14" t="s">
        <v>439</v>
      </c>
      <c r="E14" t="s">
        <v>440</v>
      </c>
    </row>
    <row r="16" spans="1:9" x14ac:dyDescent="0.25">
      <c r="D16" t="s">
        <v>441</v>
      </c>
      <c r="E16" t="s">
        <v>442</v>
      </c>
      <c r="G16" t="s">
        <v>443</v>
      </c>
    </row>
    <row r="18" spans="4:7" x14ac:dyDescent="0.25">
      <c r="D18" t="s">
        <v>444</v>
      </c>
      <c r="E18" t="s">
        <v>445</v>
      </c>
      <c r="G18" t="s">
        <v>446</v>
      </c>
    </row>
    <row r="22" spans="4:7" x14ac:dyDescent="0.25">
      <c r="G22" t="s">
        <v>447</v>
      </c>
    </row>
    <row r="26" spans="4:7" x14ac:dyDescent="0.25">
      <c r="D26">
        <v>25</v>
      </c>
      <c r="E26">
        <v>15</v>
      </c>
      <c r="F26">
        <f>E26+D26</f>
        <v>40</v>
      </c>
    </row>
  </sheetData>
  <mergeCells count="1">
    <mergeCell ref="A1:I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5"/>
  <sheetViews>
    <sheetView zoomScale="80" zoomScaleNormal="80" workbookViewId="0">
      <selection activeCell="B23" sqref="B23"/>
    </sheetView>
  </sheetViews>
  <sheetFormatPr defaultRowHeight="15" x14ac:dyDescent="0.25"/>
  <cols>
    <col min="1" max="1" width="13" customWidth="1"/>
    <col min="2" max="2" width="11.28515625" customWidth="1"/>
    <col min="3" max="3" width="22.28515625" customWidth="1"/>
    <col min="4" max="4" width="9.140625" customWidth="1"/>
    <col min="5" max="5" width="11.7109375" customWidth="1"/>
    <col min="12" max="12" width="9.140625" customWidth="1"/>
  </cols>
  <sheetData>
    <row r="1" spans="1:14" ht="30" x14ac:dyDescent="0.25">
      <c r="A1" s="9" t="s">
        <v>326</v>
      </c>
      <c r="B1" s="9" t="s">
        <v>275</v>
      </c>
      <c r="C1" s="9" t="s">
        <v>9</v>
      </c>
      <c r="E1" s="139" t="s">
        <v>448</v>
      </c>
      <c r="F1" s="138" t="s">
        <v>449</v>
      </c>
      <c r="G1" s="141" t="s">
        <v>450</v>
      </c>
      <c r="H1" s="138" t="s">
        <v>451</v>
      </c>
      <c r="I1" s="138" t="s">
        <v>452</v>
      </c>
      <c r="J1" s="138" t="s">
        <v>453</v>
      </c>
      <c r="K1" s="138" t="s">
        <v>454</v>
      </c>
      <c r="M1" s="277" t="s">
        <v>455</v>
      </c>
      <c r="N1" s="277"/>
    </row>
    <row r="2" spans="1:14" x14ac:dyDescent="0.25">
      <c r="A2" s="7" t="s">
        <v>454</v>
      </c>
      <c r="B2" s="7">
        <f>VLOOKUP(A2,$M$2:$N$7, 2, 0)</f>
        <v>96</v>
      </c>
      <c r="C2" s="7" t="str">
        <f>IF(B2&lt;50, "Call the Office", "Available")</f>
        <v>Available</v>
      </c>
      <c r="E2" s="142">
        <v>44261</v>
      </c>
      <c r="F2" s="7">
        <v>150</v>
      </c>
      <c r="G2" s="74">
        <v>250</v>
      </c>
      <c r="H2" s="7">
        <v>300</v>
      </c>
      <c r="I2" s="7">
        <v>120</v>
      </c>
      <c r="J2" s="7">
        <v>36</v>
      </c>
      <c r="K2" s="7">
        <v>120</v>
      </c>
      <c r="M2" s="9" t="s">
        <v>449</v>
      </c>
      <c r="N2" s="7">
        <f>F11-F25</f>
        <v>312</v>
      </c>
    </row>
    <row r="3" spans="1:14" x14ac:dyDescent="0.25">
      <c r="E3" s="142">
        <v>44262</v>
      </c>
      <c r="F3" s="7">
        <v>36</v>
      </c>
      <c r="G3" s="74">
        <v>25</v>
      </c>
      <c r="H3" s="7">
        <v>54</v>
      </c>
      <c r="I3" s="7">
        <v>58</v>
      </c>
      <c r="J3" s="7">
        <v>25</v>
      </c>
      <c r="K3" s="7">
        <v>23</v>
      </c>
      <c r="M3" s="9" t="s">
        <v>450</v>
      </c>
      <c r="N3" s="7">
        <f>G11-G25</f>
        <v>314</v>
      </c>
    </row>
    <row r="4" spans="1:14" x14ac:dyDescent="0.25">
      <c r="E4" s="142">
        <v>44263</v>
      </c>
      <c r="F4" s="7">
        <v>95</v>
      </c>
      <c r="G4" s="74">
        <v>98</v>
      </c>
      <c r="H4" s="7">
        <v>78</v>
      </c>
      <c r="I4" s="7">
        <v>47</v>
      </c>
      <c r="J4" s="7">
        <v>35</v>
      </c>
      <c r="K4" s="7">
        <v>36</v>
      </c>
      <c r="M4" s="9" t="s">
        <v>451</v>
      </c>
      <c r="N4" s="2">
        <f>H11-H25</f>
        <v>422</v>
      </c>
    </row>
    <row r="5" spans="1:14" x14ac:dyDescent="0.25">
      <c r="E5" s="142">
        <v>44264</v>
      </c>
      <c r="F5" s="7">
        <v>75</v>
      </c>
      <c r="G5" s="74">
        <v>58</v>
      </c>
      <c r="H5" s="7">
        <v>58</v>
      </c>
      <c r="I5" s="7">
        <v>58</v>
      </c>
      <c r="J5" s="7">
        <v>99</v>
      </c>
      <c r="K5" s="7">
        <v>67</v>
      </c>
      <c r="M5" s="9" t="s">
        <v>452</v>
      </c>
      <c r="N5" s="2">
        <f>I11-I25</f>
        <v>101</v>
      </c>
    </row>
    <row r="6" spans="1:14" x14ac:dyDescent="0.25">
      <c r="E6" s="142">
        <v>44265</v>
      </c>
      <c r="F6" s="7">
        <v>78</v>
      </c>
      <c r="G6" s="74">
        <v>69</v>
      </c>
      <c r="H6" s="7">
        <v>47</v>
      </c>
      <c r="I6" s="7">
        <v>55</v>
      </c>
      <c r="J6" s="7">
        <v>98</v>
      </c>
      <c r="K6" s="7">
        <v>68</v>
      </c>
      <c r="M6" s="9" t="s">
        <v>453</v>
      </c>
      <c r="N6" s="2">
        <f>J11-J25</f>
        <v>141</v>
      </c>
    </row>
    <row r="7" spans="1:14" x14ac:dyDescent="0.25">
      <c r="E7" s="142">
        <v>44266</v>
      </c>
      <c r="F7" s="7">
        <v>79</v>
      </c>
      <c r="G7" s="74">
        <v>58</v>
      </c>
      <c r="H7" s="7">
        <v>59</v>
      </c>
      <c r="I7" s="7">
        <v>69</v>
      </c>
      <c r="J7" s="7">
        <v>95</v>
      </c>
      <c r="K7" s="7">
        <v>69</v>
      </c>
      <c r="M7" s="9" t="s">
        <v>454</v>
      </c>
      <c r="N7" s="2">
        <f>K11-K25</f>
        <v>96</v>
      </c>
    </row>
    <row r="8" spans="1:14" x14ac:dyDescent="0.25">
      <c r="E8" s="142">
        <v>44267</v>
      </c>
      <c r="F8" s="7">
        <v>45</v>
      </c>
      <c r="G8" s="74"/>
      <c r="H8" s="7"/>
      <c r="I8" s="7"/>
      <c r="J8" s="7"/>
      <c r="K8" s="7">
        <v>100</v>
      </c>
    </row>
    <row r="9" spans="1:14" x14ac:dyDescent="0.25">
      <c r="E9" s="142">
        <v>44268</v>
      </c>
      <c r="F9" s="7"/>
      <c r="G9" s="74"/>
      <c r="H9" s="7"/>
      <c r="I9" s="7"/>
      <c r="J9" s="7"/>
      <c r="K9" s="7"/>
    </row>
    <row r="10" spans="1:14" x14ac:dyDescent="0.25">
      <c r="E10" s="142">
        <v>44269</v>
      </c>
      <c r="F10" s="7"/>
      <c r="G10" s="74"/>
      <c r="H10" s="7"/>
      <c r="I10" s="7"/>
      <c r="J10" s="7"/>
      <c r="K10" s="7"/>
    </row>
    <row r="11" spans="1:14" x14ac:dyDescent="0.25">
      <c r="E11" s="138" t="s">
        <v>37</v>
      </c>
      <c r="F11" s="138">
        <f>SUM(F2:F10)</f>
        <v>558</v>
      </c>
      <c r="G11" s="138">
        <f t="shared" ref="G11:K11" si="0">SUM(G2:G10)</f>
        <v>558</v>
      </c>
      <c r="H11" s="138">
        <f t="shared" si="0"/>
        <v>596</v>
      </c>
      <c r="I11" s="138">
        <f t="shared" si="0"/>
        <v>407</v>
      </c>
      <c r="J11" s="138">
        <f t="shared" si="0"/>
        <v>388</v>
      </c>
      <c r="K11" s="138">
        <f t="shared" si="0"/>
        <v>483</v>
      </c>
    </row>
    <row r="15" spans="1:14" ht="30" x14ac:dyDescent="0.25">
      <c r="E15" s="139" t="s">
        <v>456</v>
      </c>
      <c r="F15" s="138" t="s">
        <v>449</v>
      </c>
      <c r="G15" s="141" t="s">
        <v>450</v>
      </c>
      <c r="H15" s="138" t="s">
        <v>451</v>
      </c>
      <c r="I15" s="138" t="s">
        <v>452</v>
      </c>
      <c r="J15" s="138" t="s">
        <v>453</v>
      </c>
      <c r="K15" s="138" t="s">
        <v>454</v>
      </c>
    </row>
    <row r="16" spans="1:14" x14ac:dyDescent="0.25">
      <c r="E16" s="142">
        <v>44261</v>
      </c>
      <c r="F16" s="7">
        <v>45</v>
      </c>
      <c r="G16" s="74">
        <v>58</v>
      </c>
      <c r="H16" s="7">
        <v>25</v>
      </c>
      <c r="I16" s="7">
        <v>98</v>
      </c>
      <c r="J16" s="7">
        <v>65</v>
      </c>
      <c r="K16" s="7">
        <v>72</v>
      </c>
    </row>
    <row r="17" spans="5:11" x14ac:dyDescent="0.25">
      <c r="E17" s="142">
        <v>44262</v>
      </c>
      <c r="F17" s="7">
        <v>45</v>
      </c>
      <c r="G17" s="74">
        <v>56</v>
      </c>
      <c r="H17" s="7">
        <v>62</v>
      </c>
      <c r="I17" s="7">
        <v>67</v>
      </c>
      <c r="J17" s="7">
        <v>47</v>
      </c>
      <c r="K17" s="7">
        <v>71</v>
      </c>
    </row>
    <row r="18" spans="5:11" x14ac:dyDescent="0.25">
      <c r="E18" s="142">
        <v>44263</v>
      </c>
      <c r="F18" s="7">
        <v>52</v>
      </c>
      <c r="G18" s="74">
        <v>58</v>
      </c>
      <c r="H18" s="7">
        <v>36</v>
      </c>
      <c r="I18" s="7">
        <v>69</v>
      </c>
      <c r="J18" s="7">
        <v>45</v>
      </c>
      <c r="K18" s="7">
        <v>75</v>
      </c>
    </row>
    <row r="19" spans="5:11" x14ac:dyDescent="0.25">
      <c r="E19" s="142">
        <v>44264</v>
      </c>
      <c r="F19" s="7">
        <v>51</v>
      </c>
      <c r="G19" s="74">
        <v>36</v>
      </c>
      <c r="H19" s="7">
        <v>25</v>
      </c>
      <c r="I19" s="7">
        <v>36</v>
      </c>
      <c r="J19" s="7">
        <v>48</v>
      </c>
      <c r="K19" s="7">
        <v>84</v>
      </c>
    </row>
    <row r="20" spans="5:11" x14ac:dyDescent="0.25">
      <c r="E20" s="142">
        <v>44265</v>
      </c>
      <c r="F20" s="7">
        <v>53</v>
      </c>
      <c r="G20" s="74">
        <v>36</v>
      </c>
      <c r="H20" s="7">
        <v>26</v>
      </c>
      <c r="I20" s="7">
        <v>36</v>
      </c>
      <c r="J20" s="7">
        <v>42</v>
      </c>
      <c r="K20" s="7">
        <v>85</v>
      </c>
    </row>
    <row r="21" spans="5:11" x14ac:dyDescent="0.25">
      <c r="E21" s="142">
        <v>44266</v>
      </c>
      <c r="F21" s="7"/>
      <c r="G21" s="74"/>
      <c r="H21" s="7"/>
      <c r="I21" s="7"/>
      <c r="J21" s="7"/>
      <c r="K21" s="7"/>
    </row>
    <row r="22" spans="5:11" x14ac:dyDescent="0.25">
      <c r="E22" s="142">
        <v>44267</v>
      </c>
      <c r="F22" s="7"/>
      <c r="G22" s="74"/>
      <c r="H22" s="7"/>
      <c r="I22" s="7"/>
      <c r="J22" s="7"/>
      <c r="K22" s="7"/>
    </row>
    <row r="23" spans="5:11" x14ac:dyDescent="0.25">
      <c r="E23" s="142">
        <v>44268</v>
      </c>
      <c r="F23" s="7"/>
      <c r="G23" s="74"/>
      <c r="H23" s="7"/>
      <c r="I23" s="7"/>
      <c r="J23" s="7"/>
      <c r="K23" s="7"/>
    </row>
    <row r="24" spans="5:11" x14ac:dyDescent="0.25">
      <c r="E24" s="142">
        <v>44269</v>
      </c>
      <c r="F24" s="7"/>
      <c r="G24" s="74"/>
      <c r="H24" s="7"/>
      <c r="I24" s="7"/>
      <c r="J24" s="7"/>
      <c r="K24" s="7"/>
    </row>
    <row r="25" spans="5:11" x14ac:dyDescent="0.25">
      <c r="E25" s="138" t="s">
        <v>37</v>
      </c>
      <c r="F25" s="138">
        <f>SUM(F16:F24)</f>
        <v>246</v>
      </c>
      <c r="G25" s="138">
        <f t="shared" ref="G25:K25" si="1">SUM(G16:G24)</f>
        <v>244</v>
      </c>
      <c r="H25" s="138">
        <f t="shared" si="1"/>
        <v>174</v>
      </c>
      <c r="I25" s="138">
        <f t="shared" si="1"/>
        <v>306</v>
      </c>
      <c r="J25" s="138">
        <f t="shared" si="1"/>
        <v>247</v>
      </c>
      <c r="K25" s="138">
        <f t="shared" si="1"/>
        <v>387</v>
      </c>
    </row>
  </sheetData>
  <mergeCells count="1">
    <mergeCell ref="M1:N1"/>
  </mergeCells>
  <conditionalFormatting sqref="C2">
    <cfRule type="containsText" dxfId="30" priority="1" operator="containsText" text="Available">
      <formula>NOT(ISERROR(SEARCH("Available",C2)))</formula>
    </cfRule>
    <cfRule type="containsText" dxfId="29" priority="2" operator="containsText" text="Call the office">
      <formula>NOT(ISERROR(SEARCH("Call the office",C2)))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5"/>
  <sheetViews>
    <sheetView workbookViewId="0">
      <selection activeCell="J24" sqref="J24"/>
    </sheetView>
  </sheetViews>
  <sheetFormatPr defaultRowHeight="15" x14ac:dyDescent="0.25"/>
  <cols>
    <col min="1" max="1" width="14.42578125" customWidth="1"/>
    <col min="2" max="2" width="16.85546875" customWidth="1"/>
    <col min="3" max="3" width="11.5703125" customWidth="1"/>
    <col min="6" max="6" width="10.85546875" customWidth="1"/>
    <col min="12" max="12" width="12.5703125" customWidth="1"/>
    <col min="13" max="13" width="11.140625" customWidth="1"/>
  </cols>
  <sheetData>
    <row r="1" spans="1:13" x14ac:dyDescent="0.25">
      <c r="A1" s="278" t="s">
        <v>457</v>
      </c>
      <c r="B1" s="278"/>
      <c r="C1" s="278"/>
      <c r="D1" s="278"/>
      <c r="E1" s="278"/>
      <c r="F1" s="278"/>
      <c r="G1" s="278"/>
      <c r="H1" s="278"/>
      <c r="I1" s="279"/>
    </row>
    <row r="2" spans="1:13" x14ac:dyDescent="0.25">
      <c r="A2" s="280"/>
      <c r="B2" s="280"/>
      <c r="C2" s="280"/>
      <c r="D2" s="280"/>
      <c r="E2" s="280"/>
      <c r="F2" s="280"/>
      <c r="G2" s="280"/>
      <c r="H2" s="280"/>
      <c r="I2" s="281"/>
    </row>
    <row r="3" spans="1:13" x14ac:dyDescent="0.25">
      <c r="A3" s="280"/>
      <c r="B3" s="280"/>
      <c r="C3" s="280"/>
      <c r="D3" s="280"/>
      <c r="E3" s="280"/>
      <c r="F3" s="280"/>
      <c r="G3" s="280"/>
      <c r="H3" s="280"/>
      <c r="I3" s="281"/>
    </row>
    <row r="4" spans="1:13" x14ac:dyDescent="0.25">
      <c r="A4" s="280"/>
      <c r="B4" s="280"/>
      <c r="C4" s="280"/>
      <c r="D4" s="280"/>
      <c r="E4" s="280"/>
      <c r="F4" s="280"/>
      <c r="G4" s="280"/>
      <c r="H4" s="280"/>
      <c r="I4" s="281"/>
    </row>
    <row r="5" spans="1:13" x14ac:dyDescent="0.25">
      <c r="A5" s="280"/>
      <c r="B5" s="280"/>
      <c r="C5" s="280"/>
      <c r="D5" s="280"/>
      <c r="E5" s="280"/>
      <c r="F5" s="280"/>
      <c r="G5" s="280"/>
      <c r="H5" s="280"/>
      <c r="I5" s="281"/>
    </row>
    <row r="6" spans="1:13" x14ac:dyDescent="0.25">
      <c r="A6" s="280"/>
      <c r="B6" s="280"/>
      <c r="C6" s="280"/>
      <c r="D6" s="280"/>
      <c r="E6" s="280"/>
      <c r="F6" s="280"/>
      <c r="G6" s="280"/>
      <c r="H6" s="280"/>
      <c r="I6" s="281"/>
    </row>
    <row r="7" spans="1:13" x14ac:dyDescent="0.25">
      <c r="A7" s="282"/>
      <c r="B7" s="282"/>
      <c r="C7" s="282"/>
      <c r="D7" s="282"/>
      <c r="E7" s="282"/>
      <c r="F7" s="282"/>
      <c r="G7" s="282"/>
      <c r="H7" s="282"/>
      <c r="I7" s="283"/>
    </row>
    <row r="8" spans="1:13" ht="30" x14ac:dyDescent="0.25">
      <c r="A8" s="76" t="s">
        <v>458</v>
      </c>
      <c r="B8" s="76" t="s">
        <v>459</v>
      </c>
      <c r="C8" s="76" t="s">
        <v>460</v>
      </c>
      <c r="D8" s="76" t="s">
        <v>461</v>
      </c>
      <c r="E8" s="76" t="s">
        <v>462</v>
      </c>
      <c r="F8" s="76" t="s">
        <v>463</v>
      </c>
      <c r="G8" s="76" t="s">
        <v>226</v>
      </c>
      <c r="H8" s="76" t="s">
        <v>327</v>
      </c>
      <c r="I8" s="76" t="s">
        <v>407</v>
      </c>
      <c r="L8" s="76" t="s">
        <v>462</v>
      </c>
      <c r="M8" s="76" t="s">
        <v>463</v>
      </c>
    </row>
    <row r="9" spans="1:13" x14ac:dyDescent="0.25">
      <c r="A9" s="7" t="s">
        <v>13</v>
      </c>
      <c r="B9" s="143">
        <v>44264</v>
      </c>
      <c r="C9" s="143">
        <v>44264</v>
      </c>
      <c r="D9" s="18">
        <f>C9-B9</f>
        <v>0</v>
      </c>
      <c r="E9" s="7" t="s">
        <v>464</v>
      </c>
      <c r="F9" s="18" t="str">
        <f>IFERROR(VLOOKUP(E9, $L$9:$M$16, 2, 0), " ")</f>
        <v>Dr Jamil</v>
      </c>
      <c r="G9" s="18">
        <f>IF(AND(D9=0,E9="general"),$M$20,IF(AND(D9=0,E9="vip"),$M$21,IF(AND(D9&gt;0,E9="general"),D9*$M$20,D9*$M$21)))</f>
        <v>2500</v>
      </c>
      <c r="H9" s="18">
        <f>G9*2%</f>
        <v>50</v>
      </c>
      <c r="I9" s="18">
        <f>G9-H9</f>
        <v>2450</v>
      </c>
      <c r="L9" s="7" t="s">
        <v>465</v>
      </c>
      <c r="M9" s="7" t="s">
        <v>466</v>
      </c>
    </row>
    <row r="10" spans="1:13" x14ac:dyDescent="0.25">
      <c r="A10" s="7" t="s">
        <v>22</v>
      </c>
      <c r="B10" s="143">
        <v>44264</v>
      </c>
      <c r="C10" s="143">
        <v>44264</v>
      </c>
      <c r="D10" s="18">
        <f t="shared" ref="D10:D21" si="0">C10-B10</f>
        <v>0</v>
      </c>
      <c r="E10" s="7" t="s">
        <v>465</v>
      </c>
      <c r="F10" s="18" t="str">
        <f t="shared" ref="F10:F21" si="1">IFERROR(VLOOKUP(E10, $L$9:$M$16, 2, 0), " ")</f>
        <v>Dr Ahmed</v>
      </c>
      <c r="G10" s="18">
        <f t="shared" ref="G10:G21" si="2">IF(AND(D10=0,E10="general"),$M$20,IF(AND(D10=0,E10="vip"),$M$21,IF(AND(D10&gt;0,E10="general"),D10*$M$20,D10*$M$21)))</f>
        <v>1200</v>
      </c>
      <c r="H10" s="18">
        <f t="shared" ref="H10:H21" si="3">G10*2%</f>
        <v>24</v>
      </c>
      <c r="I10" s="18">
        <f t="shared" ref="I10:I21" si="4">G10-H10</f>
        <v>1176</v>
      </c>
      <c r="L10" s="7" t="s">
        <v>464</v>
      </c>
      <c r="M10" s="7" t="s">
        <v>467</v>
      </c>
    </row>
    <row r="11" spans="1:13" x14ac:dyDescent="0.25">
      <c r="A11" s="7" t="s">
        <v>97</v>
      </c>
      <c r="B11" s="143">
        <v>44264</v>
      </c>
      <c r="C11" s="143">
        <v>44268</v>
      </c>
      <c r="D11" s="18">
        <f t="shared" si="0"/>
        <v>4</v>
      </c>
      <c r="E11" s="7" t="s">
        <v>464</v>
      </c>
      <c r="F11" s="18" t="str">
        <f t="shared" si="1"/>
        <v>Dr Jamil</v>
      </c>
      <c r="G11" s="18">
        <f t="shared" si="2"/>
        <v>10000</v>
      </c>
      <c r="H11" s="18">
        <f t="shared" si="3"/>
        <v>200</v>
      </c>
      <c r="I11" s="18">
        <f t="shared" si="4"/>
        <v>9800</v>
      </c>
      <c r="L11" s="7"/>
      <c r="M11" s="7"/>
    </row>
    <row r="12" spans="1:13" x14ac:dyDescent="0.25">
      <c r="A12" s="7"/>
      <c r="B12" s="143"/>
      <c r="C12" s="143"/>
      <c r="D12" s="18">
        <f t="shared" si="0"/>
        <v>0</v>
      </c>
      <c r="E12" s="7"/>
      <c r="F12" s="18" t="str">
        <f t="shared" si="1"/>
        <v xml:space="preserve"> </v>
      </c>
      <c r="G12" s="18">
        <f t="shared" si="2"/>
        <v>0</v>
      </c>
      <c r="H12" s="18">
        <f t="shared" si="3"/>
        <v>0</v>
      </c>
      <c r="I12" s="18">
        <f t="shared" si="4"/>
        <v>0</v>
      </c>
      <c r="L12" s="7"/>
      <c r="M12" s="7"/>
    </row>
    <row r="13" spans="1:13" x14ac:dyDescent="0.25">
      <c r="A13" s="7"/>
      <c r="B13" s="143"/>
      <c r="C13" s="143"/>
      <c r="D13" s="18">
        <f t="shared" si="0"/>
        <v>0</v>
      </c>
      <c r="E13" s="7"/>
      <c r="F13" s="18" t="str">
        <f t="shared" si="1"/>
        <v xml:space="preserve"> </v>
      </c>
      <c r="G13" s="18">
        <f t="shared" si="2"/>
        <v>0</v>
      </c>
      <c r="H13" s="18">
        <f t="shared" si="3"/>
        <v>0</v>
      </c>
      <c r="I13" s="18">
        <f t="shared" si="4"/>
        <v>0</v>
      </c>
      <c r="L13" s="7"/>
      <c r="M13" s="7"/>
    </row>
    <row r="14" spans="1:13" x14ac:dyDescent="0.25">
      <c r="A14" s="7"/>
      <c r="B14" s="143"/>
      <c r="C14" s="143"/>
      <c r="D14" s="18">
        <f t="shared" si="0"/>
        <v>0</v>
      </c>
      <c r="E14" s="7"/>
      <c r="F14" s="18" t="str">
        <f t="shared" si="1"/>
        <v xml:space="preserve"> </v>
      </c>
      <c r="G14" s="18">
        <f t="shared" si="2"/>
        <v>0</v>
      </c>
      <c r="H14" s="18">
        <f t="shared" si="3"/>
        <v>0</v>
      </c>
      <c r="I14" s="18">
        <f t="shared" si="4"/>
        <v>0</v>
      </c>
      <c r="L14" s="7"/>
      <c r="M14" s="7"/>
    </row>
    <row r="15" spans="1:13" x14ac:dyDescent="0.25">
      <c r="A15" s="7"/>
      <c r="B15" s="143"/>
      <c r="C15" s="143"/>
      <c r="D15" s="18">
        <f t="shared" si="0"/>
        <v>0</v>
      </c>
      <c r="E15" s="7"/>
      <c r="F15" s="18" t="str">
        <f t="shared" si="1"/>
        <v xml:space="preserve"> </v>
      </c>
      <c r="G15" s="18">
        <f t="shared" si="2"/>
        <v>0</v>
      </c>
      <c r="H15" s="18">
        <f t="shared" si="3"/>
        <v>0</v>
      </c>
      <c r="I15" s="18">
        <f t="shared" si="4"/>
        <v>0</v>
      </c>
      <c r="L15" s="7"/>
      <c r="M15" s="7"/>
    </row>
    <row r="16" spans="1:13" x14ac:dyDescent="0.25">
      <c r="A16" s="7"/>
      <c r="B16" s="143"/>
      <c r="C16" s="143"/>
      <c r="D16" s="18">
        <f t="shared" si="0"/>
        <v>0</v>
      </c>
      <c r="E16" s="7"/>
      <c r="F16" s="18" t="str">
        <f t="shared" si="1"/>
        <v xml:space="preserve"> </v>
      </c>
      <c r="G16" s="18">
        <f t="shared" si="2"/>
        <v>0</v>
      </c>
      <c r="H16" s="18">
        <f t="shared" si="3"/>
        <v>0</v>
      </c>
      <c r="I16" s="18">
        <f t="shared" si="4"/>
        <v>0</v>
      </c>
      <c r="L16" s="7"/>
      <c r="M16" s="7"/>
    </row>
    <row r="17" spans="1:13" x14ac:dyDescent="0.25">
      <c r="A17" s="7"/>
      <c r="B17" s="143"/>
      <c r="C17" s="143"/>
      <c r="D17" s="18">
        <f t="shared" si="0"/>
        <v>0</v>
      </c>
      <c r="E17" s="7"/>
      <c r="F17" s="18" t="str">
        <f t="shared" si="1"/>
        <v xml:space="preserve"> </v>
      </c>
      <c r="G17" s="18">
        <f t="shared" si="2"/>
        <v>0</v>
      </c>
      <c r="H17" s="18">
        <f t="shared" si="3"/>
        <v>0</v>
      </c>
      <c r="I17" s="18">
        <f t="shared" si="4"/>
        <v>0</v>
      </c>
    </row>
    <row r="18" spans="1:13" x14ac:dyDescent="0.25">
      <c r="A18" s="7"/>
      <c r="B18" s="143"/>
      <c r="C18" s="143"/>
      <c r="D18" s="18">
        <f t="shared" si="0"/>
        <v>0</v>
      </c>
      <c r="E18" s="7"/>
      <c r="F18" s="18" t="str">
        <f t="shared" si="1"/>
        <v xml:space="preserve"> </v>
      </c>
      <c r="G18" s="18">
        <f t="shared" si="2"/>
        <v>0</v>
      </c>
      <c r="H18" s="18">
        <f t="shared" si="3"/>
        <v>0</v>
      </c>
      <c r="I18" s="18">
        <f t="shared" si="4"/>
        <v>0</v>
      </c>
    </row>
    <row r="19" spans="1:13" x14ac:dyDescent="0.25">
      <c r="A19" s="7"/>
      <c r="B19" s="143"/>
      <c r="C19" s="143"/>
      <c r="D19" s="18">
        <f t="shared" si="0"/>
        <v>0</v>
      </c>
      <c r="E19" s="7"/>
      <c r="F19" s="18" t="str">
        <f t="shared" si="1"/>
        <v xml:space="preserve"> </v>
      </c>
      <c r="G19" s="18">
        <f t="shared" si="2"/>
        <v>0</v>
      </c>
      <c r="H19" s="18">
        <f t="shared" si="3"/>
        <v>0</v>
      </c>
      <c r="I19" s="18">
        <f t="shared" si="4"/>
        <v>0</v>
      </c>
      <c r="L19" s="284" t="s">
        <v>192</v>
      </c>
      <c r="M19" s="284"/>
    </row>
    <row r="20" spans="1:13" x14ac:dyDescent="0.25">
      <c r="A20" s="7"/>
      <c r="B20" s="143"/>
      <c r="C20" s="143"/>
      <c r="D20" s="18">
        <f t="shared" si="0"/>
        <v>0</v>
      </c>
      <c r="E20" s="7"/>
      <c r="F20" s="18" t="str">
        <f t="shared" si="1"/>
        <v xml:space="preserve"> </v>
      </c>
      <c r="G20" s="18">
        <f t="shared" si="2"/>
        <v>0</v>
      </c>
      <c r="H20" s="18">
        <f t="shared" si="3"/>
        <v>0</v>
      </c>
      <c r="I20" s="18">
        <f t="shared" si="4"/>
        <v>0</v>
      </c>
      <c r="L20" s="144" t="s">
        <v>468</v>
      </c>
      <c r="M20" s="7">
        <v>1200</v>
      </c>
    </row>
    <row r="21" spans="1:13" x14ac:dyDescent="0.25">
      <c r="A21" s="7"/>
      <c r="B21" s="143"/>
      <c r="C21" s="143"/>
      <c r="D21" s="18">
        <f t="shared" si="0"/>
        <v>0</v>
      </c>
      <c r="E21" s="7"/>
      <c r="F21" s="18" t="str">
        <f t="shared" si="1"/>
        <v xml:space="preserve"> </v>
      </c>
      <c r="G21" s="18">
        <f t="shared" si="2"/>
        <v>0</v>
      </c>
      <c r="H21" s="18">
        <f t="shared" si="3"/>
        <v>0</v>
      </c>
      <c r="I21" s="18">
        <f t="shared" si="4"/>
        <v>0</v>
      </c>
      <c r="L21" s="144" t="s">
        <v>464</v>
      </c>
      <c r="M21" s="7">
        <v>2500</v>
      </c>
    </row>
    <row r="25" spans="1:13" x14ac:dyDescent="0.25">
      <c r="B25" s="53"/>
      <c r="C25" s="53"/>
    </row>
  </sheetData>
  <mergeCells count="2">
    <mergeCell ref="A1:I7"/>
    <mergeCell ref="L19:M19"/>
  </mergeCells>
  <dataValidations count="1">
    <dataValidation type="list" allowBlank="1" showInputMessage="1" showErrorMessage="1" sqref="E9:E21" xr:uid="{00000000-0002-0000-1900-000000000000}">
      <formula1>$L$9:$L$10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16"/>
  <sheetViews>
    <sheetView workbookViewId="0">
      <pane xSplit="6" ySplit="11" topLeftCell="L12" activePane="bottomRight" state="frozen"/>
      <selection pane="topRight" activeCell="G1" sqref="G1"/>
      <selection pane="bottomLeft" activeCell="A12" sqref="A12"/>
      <selection pane="bottomRight" activeCell="M4" sqref="M4"/>
    </sheetView>
  </sheetViews>
  <sheetFormatPr defaultRowHeight="15" x14ac:dyDescent="0.25"/>
  <cols>
    <col min="2" max="2" width="20.140625" bestFit="1" customWidth="1"/>
    <col min="3" max="3" width="10.140625" bestFit="1" customWidth="1"/>
  </cols>
  <sheetData>
    <row r="1" spans="1:35" ht="30" x14ac:dyDescent="0.25">
      <c r="A1" s="123" t="s">
        <v>479</v>
      </c>
      <c r="B1" s="123" t="s">
        <v>0</v>
      </c>
      <c r="C1" s="123">
        <v>1</v>
      </c>
      <c r="D1" s="123">
        <v>2</v>
      </c>
      <c r="E1" s="123">
        <v>3</v>
      </c>
      <c r="F1" s="123">
        <v>4</v>
      </c>
      <c r="G1" s="123">
        <v>5</v>
      </c>
      <c r="H1" s="123">
        <v>6</v>
      </c>
      <c r="I1" s="123">
        <v>7</v>
      </c>
      <c r="J1" s="123">
        <v>8</v>
      </c>
      <c r="K1" s="123">
        <v>9</v>
      </c>
      <c r="L1" s="123">
        <v>10</v>
      </c>
      <c r="M1" s="123">
        <v>11</v>
      </c>
      <c r="N1" s="123">
        <v>12</v>
      </c>
      <c r="O1" s="123">
        <v>13</v>
      </c>
      <c r="P1" s="123">
        <v>14</v>
      </c>
      <c r="Q1" s="123">
        <v>15</v>
      </c>
      <c r="R1" s="123">
        <v>16</v>
      </c>
      <c r="S1" s="123">
        <v>17</v>
      </c>
      <c r="T1" s="123">
        <v>18</v>
      </c>
      <c r="U1" s="123">
        <v>19</v>
      </c>
      <c r="V1" s="123">
        <v>20</v>
      </c>
      <c r="W1" s="123">
        <v>21</v>
      </c>
      <c r="X1" s="123">
        <v>22</v>
      </c>
      <c r="Y1" s="123">
        <v>23</v>
      </c>
      <c r="Z1" s="123">
        <v>24</v>
      </c>
      <c r="AA1" s="123">
        <v>25</v>
      </c>
      <c r="AB1" s="123">
        <v>26</v>
      </c>
      <c r="AC1" s="124" t="s">
        <v>77</v>
      </c>
      <c r="AD1" s="123" t="s">
        <v>92</v>
      </c>
      <c r="AE1" s="123" t="s">
        <v>93</v>
      </c>
      <c r="AF1" s="123" t="s">
        <v>94</v>
      </c>
      <c r="AG1" s="123" t="s">
        <v>95</v>
      </c>
      <c r="AH1" s="123" t="s">
        <v>7</v>
      </c>
      <c r="AI1" s="123" t="s">
        <v>428</v>
      </c>
    </row>
    <row r="2" spans="1:35" ht="15" customHeight="1" x14ac:dyDescent="0.25">
      <c r="A2" s="41">
        <v>1</v>
      </c>
      <c r="B2" s="7" t="s">
        <v>470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7">
        <v>26</v>
      </c>
      <c r="AD2" s="7">
        <f t="shared" ref="AD2:AD10" si="0">COUNTIF(C2:AB2, "P")</f>
        <v>0</v>
      </c>
      <c r="AE2" s="7">
        <f t="shared" ref="AE2:AE10" si="1">COUNTIF(C2:AB2, "A")</f>
        <v>0</v>
      </c>
      <c r="AF2" s="7">
        <f t="shared" ref="AF2:AF10" si="2">COUNTIF(C2:AB2, "L")</f>
        <v>0</v>
      </c>
      <c r="AG2" s="7" t="str">
        <f>IF(AE2=0, "Excellent!", IF(AE2=1, "Good", IF(AE2=2, "Fair", IF(AE2=3, "Be Punctual", IF(AE2=4, "Plz Contact", "Struck off")))))</f>
        <v>Excellent!</v>
      </c>
      <c r="AH2" s="137">
        <f>AD2*100/26</f>
        <v>0</v>
      </c>
      <c r="AI2" s="41" t="str">
        <f>IF(AND(AH2&gt;70, AH2&lt;=100),"Eligible","Not Eligible")</f>
        <v>Not Eligible</v>
      </c>
    </row>
    <row r="3" spans="1:35" x14ac:dyDescent="0.25">
      <c r="A3" s="41">
        <v>2</v>
      </c>
      <c r="B3" s="7" t="s">
        <v>471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7">
        <v>26</v>
      </c>
      <c r="AD3" s="7">
        <f t="shared" si="0"/>
        <v>0</v>
      </c>
      <c r="AE3" s="7">
        <f t="shared" si="1"/>
        <v>0</v>
      </c>
      <c r="AF3" s="7">
        <f t="shared" si="2"/>
        <v>0</v>
      </c>
      <c r="AG3" s="7" t="str">
        <f t="shared" ref="AG3:AG10" si="3">IF(AE3=0, "Excellent!", IF(AE3=1, "Good", IF(AE3=2, "Fair", IF(AE3=3, "Be Punctual", IF(AE3=4, "Plz Contact", "Struck off")))))</f>
        <v>Excellent!</v>
      </c>
      <c r="AH3" s="137">
        <f t="shared" ref="AH3:AH16" si="4">AD3*100/26</f>
        <v>0</v>
      </c>
      <c r="AI3" s="41" t="str">
        <f t="shared" ref="AI3:AI10" si="5">IF(AND(AH3&gt;70, AH3&lt;=100),"Eligible","Not Eligible")</f>
        <v>Not Eligible</v>
      </c>
    </row>
    <row r="4" spans="1:35" x14ac:dyDescent="0.25">
      <c r="A4" s="41">
        <v>3</v>
      </c>
      <c r="B4" s="7" t="s">
        <v>472</v>
      </c>
      <c r="C4" s="100" t="s">
        <v>40</v>
      </c>
      <c r="D4" s="100" t="s">
        <v>40</v>
      </c>
      <c r="E4" s="100" t="s">
        <v>390</v>
      </c>
      <c r="F4" s="100" t="s">
        <v>390</v>
      </c>
      <c r="G4" s="100" t="s">
        <v>390</v>
      </c>
      <c r="H4" s="100" t="s">
        <v>390</v>
      </c>
      <c r="I4" s="100" t="s">
        <v>390</v>
      </c>
      <c r="J4" s="100" t="s">
        <v>390</v>
      </c>
      <c r="K4" s="100" t="s">
        <v>390</v>
      </c>
      <c r="L4" s="100" t="s">
        <v>390</v>
      </c>
      <c r="M4" s="100" t="s">
        <v>390</v>
      </c>
      <c r="N4" s="100" t="s">
        <v>40</v>
      </c>
      <c r="O4" s="100" t="s">
        <v>390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7">
        <v>26</v>
      </c>
      <c r="AD4" s="7">
        <f t="shared" si="0"/>
        <v>10</v>
      </c>
      <c r="AE4" s="7">
        <f t="shared" si="1"/>
        <v>3</v>
      </c>
      <c r="AF4" s="7">
        <f t="shared" si="2"/>
        <v>0</v>
      </c>
      <c r="AG4" s="7" t="str">
        <f t="shared" si="3"/>
        <v>Be Punctual</v>
      </c>
      <c r="AH4" s="137">
        <f t="shared" si="4"/>
        <v>38.46153846153846</v>
      </c>
      <c r="AI4" s="41" t="str">
        <f t="shared" si="5"/>
        <v>Not Eligible</v>
      </c>
    </row>
    <row r="5" spans="1:35" x14ac:dyDescent="0.25">
      <c r="A5" s="41">
        <v>4</v>
      </c>
      <c r="B5" s="7" t="s">
        <v>473</v>
      </c>
      <c r="C5" s="100" t="s">
        <v>390</v>
      </c>
      <c r="D5" s="100" t="s">
        <v>40</v>
      </c>
      <c r="E5" s="100" t="s">
        <v>390</v>
      </c>
      <c r="F5" s="100" t="s">
        <v>390</v>
      </c>
      <c r="G5" s="100" t="s">
        <v>390</v>
      </c>
      <c r="H5" s="100" t="s">
        <v>40</v>
      </c>
      <c r="I5" s="100" t="s">
        <v>40</v>
      </c>
      <c r="J5" s="100" t="s">
        <v>40</v>
      </c>
      <c r="K5" s="100" t="s">
        <v>390</v>
      </c>
      <c r="L5" s="100" t="s">
        <v>40</v>
      </c>
      <c r="M5" s="100" t="s">
        <v>40</v>
      </c>
      <c r="N5" s="100" t="s">
        <v>40</v>
      </c>
      <c r="O5" s="100" t="s">
        <v>390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7">
        <v>26</v>
      </c>
      <c r="AD5" s="7">
        <f t="shared" si="0"/>
        <v>6</v>
      </c>
      <c r="AE5" s="7">
        <f t="shared" si="1"/>
        <v>7</v>
      </c>
      <c r="AF5" s="7">
        <f t="shared" si="2"/>
        <v>0</v>
      </c>
      <c r="AG5" s="7" t="str">
        <f t="shared" si="3"/>
        <v>Struck off</v>
      </c>
      <c r="AH5" s="137">
        <f t="shared" si="4"/>
        <v>23.076923076923077</v>
      </c>
      <c r="AI5" s="41" t="str">
        <f t="shared" si="5"/>
        <v>Not Eligible</v>
      </c>
    </row>
    <row r="6" spans="1:35" x14ac:dyDescent="0.25">
      <c r="A6" s="41">
        <v>5</v>
      </c>
      <c r="B6" s="7" t="s">
        <v>474</v>
      </c>
      <c r="C6" s="100" t="s">
        <v>40</v>
      </c>
      <c r="D6" s="100" t="s">
        <v>40</v>
      </c>
      <c r="E6" s="100" t="s">
        <v>40</v>
      </c>
      <c r="F6" s="100" t="s">
        <v>40</v>
      </c>
      <c r="G6" s="100" t="s">
        <v>40</v>
      </c>
      <c r="H6" s="100" t="s">
        <v>40</v>
      </c>
      <c r="I6" s="100" t="s">
        <v>40</v>
      </c>
      <c r="J6" s="100" t="s">
        <v>390</v>
      </c>
      <c r="K6" s="100" t="s">
        <v>40</v>
      </c>
      <c r="L6" s="100" t="s">
        <v>40</v>
      </c>
      <c r="M6" s="100" t="s">
        <v>40</v>
      </c>
      <c r="N6" s="100" t="s">
        <v>40</v>
      </c>
      <c r="O6" s="100" t="s">
        <v>40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7">
        <v>26</v>
      </c>
      <c r="AD6" s="7">
        <f t="shared" si="0"/>
        <v>1</v>
      </c>
      <c r="AE6" s="7">
        <f t="shared" si="1"/>
        <v>12</v>
      </c>
      <c r="AF6" s="7">
        <f t="shared" si="2"/>
        <v>0</v>
      </c>
      <c r="AG6" s="7" t="str">
        <f t="shared" si="3"/>
        <v>Struck off</v>
      </c>
      <c r="AH6" s="137">
        <f t="shared" si="4"/>
        <v>3.8461538461538463</v>
      </c>
      <c r="AI6" s="41" t="str">
        <f t="shared" si="5"/>
        <v>Not Eligible</v>
      </c>
    </row>
    <row r="7" spans="1:35" x14ac:dyDescent="0.25">
      <c r="A7" s="41">
        <v>6</v>
      </c>
      <c r="B7" s="7" t="s">
        <v>475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7">
        <v>26</v>
      </c>
      <c r="AD7" s="7">
        <f t="shared" si="0"/>
        <v>0</v>
      </c>
      <c r="AE7" s="7">
        <f t="shared" si="1"/>
        <v>0</v>
      </c>
      <c r="AF7" s="7">
        <f t="shared" si="2"/>
        <v>0</v>
      </c>
      <c r="AG7" s="7" t="str">
        <f t="shared" si="3"/>
        <v>Excellent!</v>
      </c>
      <c r="AH7" s="137">
        <f t="shared" si="4"/>
        <v>0</v>
      </c>
      <c r="AI7" s="41" t="str">
        <f t="shared" si="5"/>
        <v>Not Eligible</v>
      </c>
    </row>
    <row r="8" spans="1:35" x14ac:dyDescent="0.25">
      <c r="A8" s="41">
        <v>7</v>
      </c>
      <c r="B8" s="7" t="s">
        <v>476</v>
      </c>
      <c r="C8" s="152" t="s">
        <v>390</v>
      </c>
      <c r="D8" s="152" t="s">
        <v>390</v>
      </c>
      <c r="E8" s="100" t="s">
        <v>40</v>
      </c>
      <c r="F8" s="100" t="s">
        <v>390</v>
      </c>
      <c r="G8" s="100" t="s">
        <v>390</v>
      </c>
      <c r="H8" s="100" t="s">
        <v>40</v>
      </c>
      <c r="I8" s="100" t="s">
        <v>40</v>
      </c>
      <c r="J8" s="100" t="s">
        <v>390</v>
      </c>
      <c r="K8" s="100" t="s">
        <v>40</v>
      </c>
      <c r="L8" s="100" t="s">
        <v>40</v>
      </c>
      <c r="M8" s="100" t="s">
        <v>40</v>
      </c>
      <c r="N8" s="100" t="s">
        <v>40</v>
      </c>
      <c r="O8" s="100" t="s">
        <v>40</v>
      </c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7">
        <v>26</v>
      </c>
      <c r="AD8" s="7">
        <f t="shared" si="0"/>
        <v>5</v>
      </c>
      <c r="AE8" s="7">
        <f t="shared" si="1"/>
        <v>8</v>
      </c>
      <c r="AF8" s="7">
        <f t="shared" si="2"/>
        <v>0</v>
      </c>
      <c r="AG8" s="7" t="str">
        <f t="shared" si="3"/>
        <v>Struck off</v>
      </c>
      <c r="AH8" s="137">
        <f t="shared" si="4"/>
        <v>19.23076923076923</v>
      </c>
      <c r="AI8" s="41" t="str">
        <f t="shared" si="5"/>
        <v>Not Eligible</v>
      </c>
    </row>
    <row r="9" spans="1:35" x14ac:dyDescent="0.25">
      <c r="A9" s="41">
        <v>8</v>
      </c>
      <c r="B9" s="7" t="s">
        <v>477</v>
      </c>
      <c r="C9" s="100" t="s">
        <v>390</v>
      </c>
      <c r="D9" s="100" t="s">
        <v>390</v>
      </c>
      <c r="E9" s="100" t="s">
        <v>390</v>
      </c>
      <c r="F9" s="100" t="s">
        <v>40</v>
      </c>
      <c r="G9" s="100" t="s">
        <v>390</v>
      </c>
      <c r="H9" s="100" t="s">
        <v>390</v>
      </c>
      <c r="I9" s="100" t="s">
        <v>40</v>
      </c>
      <c r="J9" s="100" t="s">
        <v>40</v>
      </c>
      <c r="K9" s="100" t="s">
        <v>40</v>
      </c>
      <c r="L9" s="100" t="s">
        <v>40</v>
      </c>
      <c r="M9" s="100" t="s">
        <v>40</v>
      </c>
      <c r="N9" s="100" t="s">
        <v>40</v>
      </c>
      <c r="O9" s="100" t="s">
        <v>40</v>
      </c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7">
        <v>26</v>
      </c>
      <c r="AD9" s="7">
        <f t="shared" si="0"/>
        <v>5</v>
      </c>
      <c r="AE9" s="7">
        <f t="shared" si="1"/>
        <v>8</v>
      </c>
      <c r="AF9" s="7">
        <f t="shared" si="2"/>
        <v>0</v>
      </c>
      <c r="AG9" s="7" t="str">
        <f t="shared" si="3"/>
        <v>Struck off</v>
      </c>
      <c r="AH9" s="137">
        <f t="shared" si="4"/>
        <v>19.23076923076923</v>
      </c>
      <c r="AI9" s="41" t="str">
        <f t="shared" si="5"/>
        <v>Not Eligible</v>
      </c>
    </row>
    <row r="10" spans="1:35" x14ac:dyDescent="0.25">
      <c r="A10" s="41">
        <v>9</v>
      </c>
      <c r="B10" s="7" t="s">
        <v>478</v>
      </c>
      <c r="C10" s="152"/>
      <c r="D10" s="152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7">
        <v>26</v>
      </c>
      <c r="AD10" s="7">
        <f t="shared" si="0"/>
        <v>0</v>
      </c>
      <c r="AE10" s="7">
        <f t="shared" si="1"/>
        <v>0</v>
      </c>
      <c r="AF10" s="7">
        <f t="shared" si="2"/>
        <v>0</v>
      </c>
      <c r="AG10" s="7" t="str">
        <f t="shared" si="3"/>
        <v>Excellent!</v>
      </c>
      <c r="AH10" s="137">
        <f t="shared" si="4"/>
        <v>0</v>
      </c>
      <c r="AI10" s="41" t="str">
        <f t="shared" si="5"/>
        <v>Not Eligible</v>
      </c>
    </row>
    <row r="11" spans="1:35" x14ac:dyDescent="0.25">
      <c r="A11" s="41">
        <v>10</v>
      </c>
      <c r="B11" s="7" t="s">
        <v>497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37">
        <f t="shared" si="4"/>
        <v>0</v>
      </c>
      <c r="AI11" s="41"/>
    </row>
    <row r="12" spans="1:35" x14ac:dyDescent="0.25">
      <c r="A12" s="41"/>
      <c r="B12" s="166" t="s">
        <v>498</v>
      </c>
      <c r="C12" s="167">
        <v>45803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137">
        <f t="shared" si="4"/>
        <v>0</v>
      </c>
      <c r="AI12" s="41"/>
    </row>
    <row r="13" spans="1:35" x14ac:dyDescent="0.25">
      <c r="A13" s="4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137">
        <f t="shared" si="4"/>
        <v>0</v>
      </c>
      <c r="AI13" s="41"/>
    </row>
    <row r="14" spans="1:35" x14ac:dyDescent="0.25">
      <c r="A14" s="4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137">
        <f t="shared" si="4"/>
        <v>0</v>
      </c>
      <c r="AI14" s="41"/>
    </row>
    <row r="15" spans="1:35" x14ac:dyDescent="0.25">
      <c r="A15" s="4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137">
        <f t="shared" si="4"/>
        <v>0</v>
      </c>
      <c r="AI15" s="41"/>
    </row>
    <row r="16" spans="1:35" x14ac:dyDescent="0.25">
      <c r="A16" s="4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137">
        <f t="shared" si="4"/>
        <v>0</v>
      </c>
      <c r="AI16" s="41"/>
    </row>
  </sheetData>
  <conditionalFormatting sqref="C2:AB10">
    <cfRule type="cellIs" dxfId="28" priority="3" operator="equal">
      <formula>"L"</formula>
    </cfRule>
    <cfRule type="cellIs" dxfId="27" priority="4" operator="equal">
      <formula>"A"</formula>
    </cfRule>
    <cfRule type="cellIs" dxfId="26" priority="5" operator="equal">
      <formula>"P"</formula>
    </cfRule>
  </conditionalFormatting>
  <conditionalFormatting sqref="AI2:AI16">
    <cfRule type="containsText" dxfId="25" priority="1" operator="containsText" text="Not Eligible">
      <formula>NOT(ISERROR(SEARCH("Not Eligible",AI2)))</formula>
    </cfRule>
    <cfRule type="containsText" dxfId="24" priority="2" operator="containsText" text="Eligible">
      <formula>NOT(ISERROR(SEARCH("Eligible",AI2)))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16"/>
  <sheetViews>
    <sheetView topLeftCell="D1" workbookViewId="0">
      <selection activeCell="O7" sqref="O7"/>
    </sheetView>
  </sheetViews>
  <sheetFormatPr defaultRowHeight="15" x14ac:dyDescent="0.25"/>
  <cols>
    <col min="2" max="2" width="20.140625" bestFit="1" customWidth="1"/>
    <col min="3" max="3" width="10.140625" bestFit="1" customWidth="1"/>
  </cols>
  <sheetData>
    <row r="1" spans="1:35" ht="30" x14ac:dyDescent="0.25">
      <c r="A1" s="123" t="s">
        <v>479</v>
      </c>
      <c r="B1" s="123" t="s">
        <v>0</v>
      </c>
      <c r="C1" s="123">
        <v>1</v>
      </c>
      <c r="D1" s="123">
        <v>2</v>
      </c>
      <c r="E1" s="123">
        <v>3</v>
      </c>
      <c r="F1" s="123">
        <v>4</v>
      </c>
      <c r="G1" s="123">
        <v>5</v>
      </c>
      <c r="H1" s="123">
        <v>6</v>
      </c>
      <c r="I1" s="123">
        <v>7</v>
      </c>
      <c r="J1" s="123">
        <v>8</v>
      </c>
      <c r="K1" s="123">
        <v>9</v>
      </c>
      <c r="L1" s="123">
        <v>10</v>
      </c>
      <c r="M1" s="123">
        <v>11</v>
      </c>
      <c r="N1" s="123">
        <v>12</v>
      </c>
      <c r="O1" s="123">
        <v>13</v>
      </c>
      <c r="P1" s="123">
        <v>14</v>
      </c>
      <c r="Q1" s="123">
        <v>15</v>
      </c>
      <c r="R1" s="123">
        <v>16</v>
      </c>
      <c r="S1" s="123">
        <v>17</v>
      </c>
      <c r="T1" s="123">
        <v>18</v>
      </c>
      <c r="U1" s="123">
        <v>19</v>
      </c>
      <c r="V1" s="123">
        <v>20</v>
      </c>
      <c r="W1" s="123">
        <v>21</v>
      </c>
      <c r="X1" s="123">
        <v>22</v>
      </c>
      <c r="Y1" s="123">
        <v>23</v>
      </c>
      <c r="Z1" s="123">
        <v>24</v>
      </c>
      <c r="AA1" s="123">
        <v>25</v>
      </c>
      <c r="AB1" s="123">
        <v>26</v>
      </c>
      <c r="AC1" s="124" t="s">
        <v>77</v>
      </c>
      <c r="AD1" s="123" t="s">
        <v>92</v>
      </c>
      <c r="AE1" s="123" t="s">
        <v>93</v>
      </c>
      <c r="AF1" s="123" t="s">
        <v>94</v>
      </c>
      <c r="AG1" s="123" t="s">
        <v>95</v>
      </c>
      <c r="AH1" s="123" t="s">
        <v>7</v>
      </c>
      <c r="AI1" s="123" t="s">
        <v>428</v>
      </c>
    </row>
    <row r="2" spans="1:35" ht="15" customHeight="1" x14ac:dyDescent="0.25">
      <c r="A2" s="41">
        <v>1</v>
      </c>
      <c r="B2" s="7" t="s">
        <v>499</v>
      </c>
      <c r="C2" s="100" t="s">
        <v>40</v>
      </c>
      <c r="D2" s="100" t="s">
        <v>40</v>
      </c>
      <c r="E2" s="100" t="s">
        <v>390</v>
      </c>
      <c r="F2" s="100" t="s">
        <v>390</v>
      </c>
      <c r="G2" s="100" t="s">
        <v>390</v>
      </c>
      <c r="H2" s="100" t="s">
        <v>390</v>
      </c>
      <c r="I2" s="100" t="s">
        <v>40</v>
      </c>
      <c r="J2" s="100" t="s">
        <v>40</v>
      </c>
      <c r="K2" s="100" t="s">
        <v>40</v>
      </c>
      <c r="L2" s="100" t="s">
        <v>40</v>
      </c>
      <c r="M2" s="100" t="s">
        <v>40</v>
      </c>
      <c r="N2" s="100" t="s">
        <v>40</v>
      </c>
      <c r="O2" s="100" t="s">
        <v>40</v>
      </c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7">
        <v>26</v>
      </c>
      <c r="AD2" s="7">
        <f t="shared" ref="AD2:AD10" si="0">COUNTIF(C2:AB2, "P")</f>
        <v>4</v>
      </c>
      <c r="AE2" s="7">
        <f t="shared" ref="AE2:AE10" si="1">COUNTIF(C2:AB2, "A")</f>
        <v>9</v>
      </c>
      <c r="AF2" s="7">
        <f t="shared" ref="AF2:AF10" si="2">COUNTIF(C2:AB2, "L")</f>
        <v>0</v>
      </c>
      <c r="AG2" s="7" t="str">
        <f>IF(AE2=0, "Excellent!", IF(AE2=1, "Good", IF(AE2=2, "Fair", IF(AE2=3, "Be Punctual", IF(AE2=4, "Plz Contact", "Struck off")))))</f>
        <v>Struck off</v>
      </c>
      <c r="AH2" s="137">
        <f>AD2*100/26</f>
        <v>15.384615384615385</v>
      </c>
      <c r="AI2" s="41" t="str">
        <f>IF(AND(AH2&gt;70, AH2&lt;=100),"Eligible","Not Eligible")</f>
        <v>Not Eligible</v>
      </c>
    </row>
    <row r="3" spans="1:35" x14ac:dyDescent="0.25">
      <c r="A3" s="41">
        <v>2</v>
      </c>
      <c r="B3" s="7" t="s">
        <v>504</v>
      </c>
      <c r="C3" s="100" t="s">
        <v>390</v>
      </c>
      <c r="D3" s="100" t="s">
        <v>390</v>
      </c>
      <c r="E3" s="100" t="s">
        <v>390</v>
      </c>
      <c r="F3" s="100" t="s">
        <v>40</v>
      </c>
      <c r="G3" s="100" t="s">
        <v>390</v>
      </c>
      <c r="H3" s="100" t="s">
        <v>390</v>
      </c>
      <c r="I3" s="100" t="s">
        <v>40</v>
      </c>
      <c r="J3" s="100" t="s">
        <v>40</v>
      </c>
      <c r="K3" s="100" t="s">
        <v>40</v>
      </c>
      <c r="L3" s="100" t="s">
        <v>40</v>
      </c>
      <c r="M3" s="100" t="s">
        <v>40</v>
      </c>
      <c r="N3" s="100" t="s">
        <v>390</v>
      </c>
      <c r="O3" s="100" t="s">
        <v>390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7">
        <v>26</v>
      </c>
      <c r="AD3" s="7">
        <f t="shared" si="0"/>
        <v>7</v>
      </c>
      <c r="AE3" s="7">
        <f t="shared" si="1"/>
        <v>6</v>
      </c>
      <c r="AF3" s="7">
        <f t="shared" si="2"/>
        <v>0</v>
      </c>
      <c r="AG3" s="7" t="str">
        <f t="shared" ref="AG3:AG10" si="3">IF(AE3=0, "Excellent!", IF(AE3=1, "Good", IF(AE3=2, "Fair", IF(AE3=3, "Be Punctual", IF(AE3=4, "Plz Contact", "Struck off")))))</f>
        <v>Struck off</v>
      </c>
      <c r="AH3" s="137">
        <f t="shared" ref="AH3:AH16" si="4">AD3*100/26</f>
        <v>26.923076923076923</v>
      </c>
      <c r="AI3" s="41" t="str">
        <f t="shared" ref="AI3:AI10" si="5">IF(AND(AH3&gt;70, AH3&lt;=100),"Eligible","Not Eligible")</f>
        <v>Not Eligible</v>
      </c>
    </row>
    <row r="4" spans="1:35" x14ac:dyDescent="0.25">
      <c r="A4" s="41">
        <v>3</v>
      </c>
      <c r="B4" s="7" t="s">
        <v>505</v>
      </c>
      <c r="C4" s="100" t="s">
        <v>390</v>
      </c>
      <c r="D4" s="100" t="s">
        <v>390</v>
      </c>
      <c r="E4" s="100" t="s">
        <v>390</v>
      </c>
      <c r="F4" s="100" t="s">
        <v>40</v>
      </c>
      <c r="G4" s="100" t="s">
        <v>390</v>
      </c>
      <c r="H4" s="100" t="s">
        <v>390</v>
      </c>
      <c r="I4" s="100" t="s">
        <v>40</v>
      </c>
      <c r="J4" s="100" t="s">
        <v>40</v>
      </c>
      <c r="K4" s="100" t="s">
        <v>40</v>
      </c>
      <c r="L4" s="100" t="s">
        <v>40</v>
      </c>
      <c r="M4" s="100" t="s">
        <v>40</v>
      </c>
      <c r="N4" s="100" t="s">
        <v>390</v>
      </c>
      <c r="O4" s="100" t="s">
        <v>390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7">
        <v>26</v>
      </c>
      <c r="AD4" s="7">
        <f t="shared" si="0"/>
        <v>7</v>
      </c>
      <c r="AE4" s="7">
        <f t="shared" si="1"/>
        <v>6</v>
      </c>
      <c r="AF4" s="7">
        <f t="shared" si="2"/>
        <v>0</v>
      </c>
      <c r="AG4" s="7" t="str">
        <f t="shared" si="3"/>
        <v>Struck off</v>
      </c>
      <c r="AH4" s="137">
        <f t="shared" si="4"/>
        <v>26.923076923076923</v>
      </c>
      <c r="AI4" s="41" t="str">
        <f t="shared" si="5"/>
        <v>Not Eligible</v>
      </c>
    </row>
    <row r="5" spans="1:35" x14ac:dyDescent="0.25">
      <c r="A5" s="41">
        <v>4</v>
      </c>
      <c r="B5" s="7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7">
        <v>26</v>
      </c>
      <c r="AD5" s="7">
        <f t="shared" si="0"/>
        <v>0</v>
      </c>
      <c r="AE5" s="7">
        <f t="shared" si="1"/>
        <v>0</v>
      </c>
      <c r="AF5" s="7">
        <f t="shared" si="2"/>
        <v>0</v>
      </c>
      <c r="AG5" s="7" t="str">
        <f t="shared" si="3"/>
        <v>Excellent!</v>
      </c>
      <c r="AH5" s="137">
        <f t="shared" si="4"/>
        <v>0</v>
      </c>
      <c r="AI5" s="41" t="str">
        <f t="shared" si="5"/>
        <v>Not Eligible</v>
      </c>
    </row>
    <row r="6" spans="1:35" x14ac:dyDescent="0.25">
      <c r="A6" s="41">
        <v>5</v>
      </c>
      <c r="B6" s="7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7">
        <v>26</v>
      </c>
      <c r="AD6" s="7">
        <f t="shared" si="0"/>
        <v>0</v>
      </c>
      <c r="AE6" s="7">
        <f t="shared" si="1"/>
        <v>0</v>
      </c>
      <c r="AF6" s="7">
        <f t="shared" si="2"/>
        <v>0</v>
      </c>
      <c r="AG6" s="7" t="str">
        <f t="shared" si="3"/>
        <v>Excellent!</v>
      </c>
      <c r="AH6" s="137">
        <f t="shared" si="4"/>
        <v>0</v>
      </c>
      <c r="AI6" s="41" t="str">
        <f t="shared" si="5"/>
        <v>Not Eligible</v>
      </c>
    </row>
    <row r="7" spans="1:35" x14ac:dyDescent="0.25">
      <c r="A7" s="41">
        <v>6</v>
      </c>
      <c r="B7" s="7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7">
        <v>26</v>
      </c>
      <c r="AD7" s="7">
        <f t="shared" si="0"/>
        <v>0</v>
      </c>
      <c r="AE7" s="7">
        <f t="shared" si="1"/>
        <v>0</v>
      </c>
      <c r="AF7" s="7">
        <f t="shared" si="2"/>
        <v>0</v>
      </c>
      <c r="AG7" s="7" t="str">
        <f t="shared" si="3"/>
        <v>Excellent!</v>
      </c>
      <c r="AH7" s="137">
        <f t="shared" si="4"/>
        <v>0</v>
      </c>
      <c r="AI7" s="41" t="str">
        <f t="shared" si="5"/>
        <v>Not Eligible</v>
      </c>
    </row>
    <row r="8" spans="1:35" x14ac:dyDescent="0.25">
      <c r="A8" s="41">
        <v>7</v>
      </c>
      <c r="B8" s="7"/>
      <c r="C8" s="152"/>
      <c r="D8" s="152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7">
        <v>26</v>
      </c>
      <c r="AD8" s="7">
        <f t="shared" si="0"/>
        <v>0</v>
      </c>
      <c r="AE8" s="7">
        <f t="shared" si="1"/>
        <v>0</v>
      </c>
      <c r="AF8" s="7">
        <f t="shared" si="2"/>
        <v>0</v>
      </c>
      <c r="AG8" s="7" t="str">
        <f t="shared" si="3"/>
        <v>Excellent!</v>
      </c>
      <c r="AH8" s="137">
        <f t="shared" si="4"/>
        <v>0</v>
      </c>
      <c r="AI8" s="41" t="str">
        <f t="shared" si="5"/>
        <v>Not Eligible</v>
      </c>
    </row>
    <row r="9" spans="1:35" x14ac:dyDescent="0.25">
      <c r="A9" s="41">
        <v>8</v>
      </c>
      <c r="B9" s="7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7">
        <v>26</v>
      </c>
      <c r="AD9" s="7">
        <f t="shared" si="0"/>
        <v>0</v>
      </c>
      <c r="AE9" s="7">
        <f t="shared" si="1"/>
        <v>0</v>
      </c>
      <c r="AF9" s="7">
        <f t="shared" si="2"/>
        <v>0</v>
      </c>
      <c r="AG9" s="7" t="str">
        <f t="shared" si="3"/>
        <v>Excellent!</v>
      </c>
      <c r="AH9" s="137">
        <f t="shared" si="4"/>
        <v>0</v>
      </c>
      <c r="AI9" s="41" t="str">
        <f t="shared" si="5"/>
        <v>Not Eligible</v>
      </c>
    </row>
    <row r="10" spans="1:35" x14ac:dyDescent="0.25">
      <c r="A10" s="41">
        <v>9</v>
      </c>
      <c r="B10" s="7"/>
      <c r="C10" s="152"/>
      <c r="D10" s="152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7">
        <v>26</v>
      </c>
      <c r="AD10" s="7">
        <f t="shared" si="0"/>
        <v>0</v>
      </c>
      <c r="AE10" s="7">
        <f t="shared" si="1"/>
        <v>0</v>
      </c>
      <c r="AF10" s="7">
        <f t="shared" si="2"/>
        <v>0</v>
      </c>
      <c r="AG10" s="7" t="str">
        <f t="shared" si="3"/>
        <v>Excellent!</v>
      </c>
      <c r="AH10" s="137">
        <f t="shared" si="4"/>
        <v>0</v>
      </c>
      <c r="AI10" s="41" t="str">
        <f t="shared" si="5"/>
        <v>Not Eligible</v>
      </c>
    </row>
    <row r="11" spans="1:35" x14ac:dyDescent="0.25">
      <c r="A11" s="41">
        <v>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100"/>
      <c r="AA11" s="7"/>
      <c r="AB11" s="7"/>
      <c r="AC11" s="7"/>
      <c r="AD11" s="7"/>
      <c r="AE11" s="7"/>
      <c r="AF11" s="7"/>
      <c r="AG11" s="7"/>
      <c r="AH11" s="137">
        <f t="shared" si="4"/>
        <v>0</v>
      </c>
      <c r="AI11" s="41"/>
    </row>
    <row r="12" spans="1:35" x14ac:dyDescent="0.25">
      <c r="A12" s="41"/>
      <c r="B12" s="166" t="s">
        <v>498</v>
      </c>
      <c r="C12" s="167">
        <v>45803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100"/>
      <c r="AA12" s="7"/>
      <c r="AB12" s="7"/>
      <c r="AC12" s="7"/>
      <c r="AD12" s="7"/>
      <c r="AE12" s="7"/>
      <c r="AF12" s="7"/>
      <c r="AG12" s="7"/>
      <c r="AH12" s="137">
        <f t="shared" si="4"/>
        <v>0</v>
      </c>
      <c r="AI12" s="41"/>
    </row>
    <row r="13" spans="1:35" x14ac:dyDescent="0.25">
      <c r="A13" s="4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00"/>
      <c r="AA13" s="7"/>
      <c r="AB13" s="7"/>
      <c r="AC13" s="7"/>
      <c r="AD13" s="7"/>
      <c r="AE13" s="7"/>
      <c r="AF13" s="7"/>
      <c r="AG13" s="7"/>
      <c r="AH13" s="137">
        <f t="shared" si="4"/>
        <v>0</v>
      </c>
      <c r="AI13" s="41"/>
    </row>
    <row r="14" spans="1:35" x14ac:dyDescent="0.25">
      <c r="A14" s="4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100"/>
      <c r="AA14" s="7"/>
      <c r="AB14" s="7"/>
      <c r="AC14" s="7"/>
      <c r="AD14" s="7"/>
      <c r="AE14" s="7"/>
      <c r="AF14" s="7"/>
      <c r="AG14" s="7"/>
      <c r="AH14" s="137">
        <f t="shared" si="4"/>
        <v>0</v>
      </c>
      <c r="AI14" s="41"/>
    </row>
    <row r="15" spans="1:35" x14ac:dyDescent="0.25">
      <c r="A15" s="4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100"/>
      <c r="AA15" s="7"/>
      <c r="AB15" s="7"/>
      <c r="AC15" s="7"/>
      <c r="AD15" s="7"/>
      <c r="AE15" s="7"/>
      <c r="AF15" s="7"/>
      <c r="AG15" s="7"/>
      <c r="AH15" s="137">
        <f t="shared" si="4"/>
        <v>0</v>
      </c>
      <c r="AI15" s="41"/>
    </row>
    <row r="16" spans="1:35" x14ac:dyDescent="0.25">
      <c r="A16" s="4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100"/>
      <c r="AA16" s="7"/>
      <c r="AB16" s="7"/>
      <c r="AC16" s="7"/>
      <c r="AD16" s="7"/>
      <c r="AE16" s="7"/>
      <c r="AF16" s="7"/>
      <c r="AG16" s="7"/>
      <c r="AH16" s="137">
        <f t="shared" si="4"/>
        <v>0</v>
      </c>
      <c r="AI16" s="41"/>
    </row>
  </sheetData>
  <conditionalFormatting sqref="C2:Y10">
    <cfRule type="cellIs" dxfId="23" priority="4" operator="equal">
      <formula>"L"</formula>
    </cfRule>
    <cfRule type="cellIs" dxfId="22" priority="5" operator="equal">
      <formula>"A"</formula>
    </cfRule>
    <cfRule type="cellIs" dxfId="21" priority="6" operator="equal">
      <formula>"P"</formula>
    </cfRule>
  </conditionalFormatting>
  <conditionalFormatting sqref="Z2:Z16">
    <cfRule type="cellIs" dxfId="20" priority="1" operator="equal">
      <formula>"L"</formula>
    </cfRule>
    <cfRule type="cellIs" dxfId="19" priority="2" operator="equal">
      <formula>"A"</formula>
    </cfRule>
    <cfRule type="cellIs" dxfId="18" priority="3" operator="equal">
      <formula>"P"</formula>
    </cfRule>
  </conditionalFormatting>
  <conditionalFormatting sqref="AA2:AB10">
    <cfRule type="cellIs" dxfId="17" priority="9" operator="equal">
      <formula>"L"</formula>
    </cfRule>
    <cfRule type="cellIs" dxfId="16" priority="10" operator="equal">
      <formula>"A"</formula>
    </cfRule>
    <cfRule type="cellIs" dxfId="15" priority="11" operator="equal">
      <formula>"P"</formula>
    </cfRule>
  </conditionalFormatting>
  <conditionalFormatting sqref="AI2:AI16">
    <cfRule type="containsText" dxfId="14" priority="7" operator="containsText" text="Not Eligible">
      <formula>NOT(ISERROR(SEARCH("Not Eligible",AI2)))</formula>
    </cfRule>
    <cfRule type="containsText" dxfId="13" priority="8" operator="containsText" text="Eligible">
      <formula>NOT(ISERROR(SEARCH("Eligible",AI2)))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16"/>
  <sheetViews>
    <sheetView workbookViewId="0">
      <pane xSplit="6" ySplit="11" topLeftCell="I12" activePane="bottomRight" state="frozen"/>
      <selection pane="topRight" activeCell="G1" sqref="G1"/>
      <selection pane="bottomLeft" activeCell="A12" sqref="A12"/>
      <selection pane="bottomRight" activeCell="N12" sqref="N12"/>
    </sheetView>
  </sheetViews>
  <sheetFormatPr defaultRowHeight="15" x14ac:dyDescent="0.25"/>
  <cols>
    <col min="2" max="2" width="20.140625" bestFit="1" customWidth="1"/>
    <col min="3" max="3" width="10.140625" bestFit="1" customWidth="1"/>
  </cols>
  <sheetData>
    <row r="1" spans="1:35" ht="30" x14ac:dyDescent="0.25">
      <c r="A1" s="123" t="s">
        <v>479</v>
      </c>
      <c r="B1" s="123" t="s">
        <v>0</v>
      </c>
      <c r="C1" s="123">
        <v>1</v>
      </c>
      <c r="D1" s="123">
        <v>2</v>
      </c>
      <c r="E1" s="123">
        <v>3</v>
      </c>
      <c r="F1" s="123">
        <v>4</v>
      </c>
      <c r="G1" s="123">
        <v>5</v>
      </c>
      <c r="H1" s="123">
        <v>6</v>
      </c>
      <c r="I1" s="123">
        <v>7</v>
      </c>
      <c r="J1" s="123">
        <v>8</v>
      </c>
      <c r="K1" s="123">
        <v>9</v>
      </c>
      <c r="L1" s="123">
        <v>10</v>
      </c>
      <c r="M1" s="123">
        <v>11</v>
      </c>
      <c r="N1" s="123">
        <v>12</v>
      </c>
      <c r="O1" s="123">
        <v>13</v>
      </c>
      <c r="P1" s="123">
        <v>14</v>
      </c>
      <c r="Q1" s="123">
        <v>15</v>
      </c>
      <c r="R1" s="123">
        <v>16</v>
      </c>
      <c r="S1" s="123">
        <v>17</v>
      </c>
      <c r="T1" s="123">
        <v>18</v>
      </c>
      <c r="U1" s="123">
        <v>19</v>
      </c>
      <c r="V1" s="123">
        <v>20</v>
      </c>
      <c r="W1" s="123">
        <v>21</v>
      </c>
      <c r="X1" s="123">
        <v>22</v>
      </c>
      <c r="Y1" s="123">
        <v>23</v>
      </c>
      <c r="Z1" s="123">
        <v>24</v>
      </c>
      <c r="AA1" s="123">
        <v>25</v>
      </c>
      <c r="AB1" s="123">
        <v>26</v>
      </c>
      <c r="AC1" s="124" t="s">
        <v>77</v>
      </c>
      <c r="AD1" s="123" t="s">
        <v>92</v>
      </c>
      <c r="AE1" s="123" t="s">
        <v>93</v>
      </c>
      <c r="AF1" s="123" t="s">
        <v>94</v>
      </c>
      <c r="AG1" s="123" t="s">
        <v>95</v>
      </c>
      <c r="AH1" s="123" t="s">
        <v>7</v>
      </c>
      <c r="AI1" s="123" t="s">
        <v>428</v>
      </c>
    </row>
    <row r="2" spans="1:35" ht="15" customHeight="1" x14ac:dyDescent="0.25">
      <c r="A2" s="41">
        <v>1</v>
      </c>
      <c r="B2" s="7" t="s">
        <v>500</v>
      </c>
      <c r="C2" s="100" t="s">
        <v>390</v>
      </c>
      <c r="D2" s="100" t="s">
        <v>390</v>
      </c>
      <c r="E2" s="100" t="s">
        <v>390</v>
      </c>
      <c r="F2" s="100" t="s">
        <v>390</v>
      </c>
      <c r="G2" s="100" t="s">
        <v>390</v>
      </c>
      <c r="H2" s="100" t="s">
        <v>390</v>
      </c>
      <c r="I2" s="100" t="s">
        <v>390</v>
      </c>
      <c r="J2" s="100" t="s">
        <v>390</v>
      </c>
      <c r="K2" s="100" t="s">
        <v>390</v>
      </c>
      <c r="L2" s="100" t="s">
        <v>40</v>
      </c>
      <c r="M2" s="100" t="s">
        <v>390</v>
      </c>
      <c r="N2" s="100" t="s">
        <v>390</v>
      </c>
      <c r="O2" s="100" t="s">
        <v>390</v>
      </c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1"/>
      <c r="AA2" s="100"/>
      <c r="AB2" s="100"/>
      <c r="AC2" s="7">
        <v>26</v>
      </c>
      <c r="AD2" s="7">
        <f t="shared" ref="AD2:AD10" si="0">COUNTIF(C2:AB2, "P")</f>
        <v>12</v>
      </c>
      <c r="AE2" s="7">
        <f t="shared" ref="AE2:AE10" si="1">COUNTIF(C2:AB2, "A")</f>
        <v>1</v>
      </c>
      <c r="AF2" s="7">
        <f t="shared" ref="AF2:AF10" si="2">COUNTIF(C2:AB2, "L")</f>
        <v>0</v>
      </c>
      <c r="AG2" s="7" t="str">
        <f>IF(AE2=0, "Excellent!", IF(AE2=1, "Good", IF(AE2=2, "Fair", IF(AE2=3, "Be Punctual", IF(AE2=4, "Plz Contact", "Struck off")))))</f>
        <v>Good</v>
      </c>
      <c r="AH2" s="137">
        <f>AD2*100/26</f>
        <v>46.153846153846153</v>
      </c>
      <c r="AI2" s="41" t="str">
        <f>IF(AND(AH2&gt;70, AH2&lt;=100),"Eligible","Not Eligible")</f>
        <v>Not Eligible</v>
      </c>
    </row>
    <row r="3" spans="1:35" x14ac:dyDescent="0.25">
      <c r="A3" s="41">
        <v>2</v>
      </c>
      <c r="B3" s="7" t="s">
        <v>501</v>
      </c>
      <c r="C3" s="100" t="s">
        <v>390</v>
      </c>
      <c r="D3" s="100" t="s">
        <v>390</v>
      </c>
      <c r="E3" s="100" t="s">
        <v>390</v>
      </c>
      <c r="F3" s="100" t="s">
        <v>390</v>
      </c>
      <c r="G3" s="100" t="s">
        <v>390</v>
      </c>
      <c r="H3" s="100" t="s">
        <v>390</v>
      </c>
      <c r="I3" s="100" t="s">
        <v>390</v>
      </c>
      <c r="J3" s="100" t="s">
        <v>390</v>
      </c>
      <c r="K3" s="100" t="s">
        <v>390</v>
      </c>
      <c r="L3" s="100" t="s">
        <v>40</v>
      </c>
      <c r="M3" s="100" t="s">
        <v>40</v>
      </c>
      <c r="N3" s="100" t="s">
        <v>390</v>
      </c>
      <c r="O3" s="100" t="s">
        <v>390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1"/>
      <c r="AA3" s="100"/>
      <c r="AB3" s="100"/>
      <c r="AC3" s="7">
        <v>26</v>
      </c>
      <c r="AD3" s="7">
        <f t="shared" si="0"/>
        <v>11</v>
      </c>
      <c r="AE3" s="7">
        <f t="shared" si="1"/>
        <v>2</v>
      </c>
      <c r="AF3" s="7">
        <f t="shared" si="2"/>
        <v>0</v>
      </c>
      <c r="AG3" s="7" t="str">
        <f t="shared" ref="AG3:AG10" si="3">IF(AE3=0, "Excellent!", IF(AE3=1, "Good", IF(AE3=2, "Fair", IF(AE3=3, "Be Punctual", IF(AE3=4, "Plz Contact", "Struck off")))))</f>
        <v>Fair</v>
      </c>
      <c r="AH3" s="137">
        <f t="shared" ref="AH3:AH16" si="4">AD3*100/26</f>
        <v>42.307692307692307</v>
      </c>
      <c r="AI3" s="41" t="str">
        <f t="shared" ref="AI3:AI10" si="5">IF(AND(AH3&gt;70, AH3&lt;=100),"Eligible","Not Eligible")</f>
        <v>Not Eligible</v>
      </c>
    </row>
    <row r="4" spans="1:35" x14ac:dyDescent="0.25">
      <c r="A4" s="41">
        <v>3</v>
      </c>
      <c r="B4" s="7" t="s">
        <v>502</v>
      </c>
      <c r="C4" s="100" t="s">
        <v>390</v>
      </c>
      <c r="D4" s="100" t="s">
        <v>390</v>
      </c>
      <c r="E4" s="100" t="s">
        <v>390</v>
      </c>
      <c r="F4" s="100" t="s">
        <v>390</v>
      </c>
      <c r="G4" s="100" t="s">
        <v>390</v>
      </c>
      <c r="H4" s="100" t="s">
        <v>390</v>
      </c>
      <c r="I4" s="100" t="s">
        <v>390</v>
      </c>
      <c r="J4" s="100" t="s">
        <v>390</v>
      </c>
      <c r="K4" s="100" t="s">
        <v>40</v>
      </c>
      <c r="L4" s="100" t="s">
        <v>40</v>
      </c>
      <c r="M4" s="100" t="s">
        <v>390</v>
      </c>
      <c r="N4" s="100" t="s">
        <v>390</v>
      </c>
      <c r="O4" s="100" t="s">
        <v>390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1"/>
      <c r="AA4" s="100"/>
      <c r="AB4" s="100"/>
      <c r="AC4" s="7">
        <v>26</v>
      </c>
      <c r="AD4" s="7">
        <f t="shared" si="0"/>
        <v>11</v>
      </c>
      <c r="AE4" s="7">
        <f t="shared" si="1"/>
        <v>2</v>
      </c>
      <c r="AF4" s="7">
        <f t="shared" si="2"/>
        <v>0</v>
      </c>
      <c r="AG4" s="7" t="str">
        <f t="shared" si="3"/>
        <v>Fair</v>
      </c>
      <c r="AH4" s="137">
        <f t="shared" si="4"/>
        <v>42.307692307692307</v>
      </c>
      <c r="AI4" s="41" t="str">
        <f t="shared" si="5"/>
        <v>Not Eligible</v>
      </c>
    </row>
    <row r="5" spans="1:35" x14ac:dyDescent="0.25">
      <c r="A5" s="41">
        <v>4</v>
      </c>
      <c r="B5" s="7" t="s">
        <v>503</v>
      </c>
      <c r="C5" s="100" t="s">
        <v>390</v>
      </c>
      <c r="D5" s="100" t="s">
        <v>390</v>
      </c>
      <c r="E5" s="100" t="s">
        <v>390</v>
      </c>
      <c r="F5" s="100" t="s">
        <v>390</v>
      </c>
      <c r="G5" s="100" t="s">
        <v>390</v>
      </c>
      <c r="H5" s="100" t="s">
        <v>390</v>
      </c>
      <c r="I5" s="100" t="s">
        <v>390</v>
      </c>
      <c r="J5" s="100" t="s">
        <v>390</v>
      </c>
      <c r="K5" s="100" t="s">
        <v>390</v>
      </c>
      <c r="L5" s="100" t="s">
        <v>390</v>
      </c>
      <c r="M5" s="100" t="s">
        <v>40</v>
      </c>
      <c r="N5" s="100" t="s">
        <v>390</v>
      </c>
      <c r="O5" s="100" t="s">
        <v>390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1"/>
      <c r="AA5" s="100"/>
      <c r="AB5" s="100"/>
      <c r="AC5" s="7">
        <v>26</v>
      </c>
      <c r="AD5" s="7">
        <f t="shared" si="0"/>
        <v>12</v>
      </c>
      <c r="AE5" s="7">
        <f t="shared" si="1"/>
        <v>1</v>
      </c>
      <c r="AF5" s="7">
        <f t="shared" si="2"/>
        <v>0</v>
      </c>
      <c r="AG5" s="7" t="str">
        <f t="shared" si="3"/>
        <v>Good</v>
      </c>
      <c r="AH5" s="137">
        <f t="shared" si="4"/>
        <v>46.153846153846153</v>
      </c>
      <c r="AI5" s="41" t="str">
        <f t="shared" si="5"/>
        <v>Not Eligible</v>
      </c>
    </row>
    <row r="6" spans="1:35" x14ac:dyDescent="0.25">
      <c r="A6" s="41">
        <v>5</v>
      </c>
      <c r="B6" s="7" t="s">
        <v>510</v>
      </c>
      <c r="C6" s="100" t="s">
        <v>390</v>
      </c>
      <c r="D6" s="100" t="s">
        <v>390</v>
      </c>
      <c r="E6" s="100" t="s">
        <v>390</v>
      </c>
      <c r="F6" s="100" t="s">
        <v>390</v>
      </c>
      <c r="G6" s="100" t="s">
        <v>390</v>
      </c>
      <c r="H6" s="100" t="s">
        <v>390</v>
      </c>
      <c r="I6" s="100" t="s">
        <v>390</v>
      </c>
      <c r="J6" s="100" t="s">
        <v>40</v>
      </c>
      <c r="K6" s="100" t="s">
        <v>40</v>
      </c>
      <c r="L6" s="100" t="s">
        <v>40</v>
      </c>
      <c r="M6" s="100" t="s">
        <v>40</v>
      </c>
      <c r="N6" s="100" t="s">
        <v>40</v>
      </c>
      <c r="O6" s="100" t="s">
        <v>390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1"/>
      <c r="AA6" s="100"/>
      <c r="AB6" s="100"/>
      <c r="AC6" s="7">
        <v>26</v>
      </c>
      <c r="AD6" s="7">
        <f t="shared" si="0"/>
        <v>8</v>
      </c>
      <c r="AE6" s="7">
        <f t="shared" si="1"/>
        <v>5</v>
      </c>
      <c r="AF6" s="7">
        <f t="shared" si="2"/>
        <v>0</v>
      </c>
      <c r="AG6" s="7" t="str">
        <f t="shared" si="3"/>
        <v>Struck off</v>
      </c>
      <c r="AH6" s="137">
        <f t="shared" si="4"/>
        <v>30.76923076923077</v>
      </c>
      <c r="AI6" s="41" t="str">
        <f t="shared" si="5"/>
        <v>Not Eligible</v>
      </c>
    </row>
    <row r="7" spans="1:35" x14ac:dyDescent="0.25">
      <c r="A7" s="41">
        <v>6</v>
      </c>
      <c r="B7" s="7" t="s">
        <v>523</v>
      </c>
      <c r="C7" s="100" t="s">
        <v>526</v>
      </c>
      <c r="D7" s="100" t="s">
        <v>526</v>
      </c>
      <c r="E7" s="100" t="s">
        <v>526</v>
      </c>
      <c r="F7" s="100" t="s">
        <v>526</v>
      </c>
      <c r="G7" s="100" t="s">
        <v>526</v>
      </c>
      <c r="H7" s="100" t="s">
        <v>526</v>
      </c>
      <c r="I7" s="100" t="s">
        <v>526</v>
      </c>
      <c r="J7" s="100" t="s">
        <v>526</v>
      </c>
      <c r="K7" s="100" t="s">
        <v>526</v>
      </c>
      <c r="L7" s="100" t="s">
        <v>526</v>
      </c>
      <c r="M7" s="100" t="s">
        <v>526</v>
      </c>
      <c r="N7" s="100" t="s">
        <v>390</v>
      </c>
      <c r="O7" s="100" t="s">
        <v>390</v>
      </c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1"/>
      <c r="AA7" s="100"/>
      <c r="AB7" s="100"/>
      <c r="AC7" s="7">
        <v>26</v>
      </c>
      <c r="AD7" s="7">
        <f t="shared" si="0"/>
        <v>2</v>
      </c>
      <c r="AE7" s="7">
        <f t="shared" si="1"/>
        <v>0</v>
      </c>
      <c r="AF7" s="7">
        <f t="shared" si="2"/>
        <v>0</v>
      </c>
      <c r="AG7" s="7" t="str">
        <f t="shared" si="3"/>
        <v>Excellent!</v>
      </c>
      <c r="AH7" s="137">
        <f t="shared" si="4"/>
        <v>7.6923076923076925</v>
      </c>
      <c r="AI7" s="41" t="str">
        <f t="shared" si="5"/>
        <v>Not Eligible</v>
      </c>
    </row>
    <row r="8" spans="1:35" x14ac:dyDescent="0.25">
      <c r="A8" s="41">
        <v>7</v>
      </c>
      <c r="B8" s="7" t="s">
        <v>527</v>
      </c>
      <c r="C8" s="100" t="s">
        <v>526</v>
      </c>
      <c r="D8" s="100" t="s">
        <v>526</v>
      </c>
      <c r="E8" s="100" t="s">
        <v>526</v>
      </c>
      <c r="F8" s="100" t="s">
        <v>526</v>
      </c>
      <c r="G8" s="100" t="s">
        <v>526</v>
      </c>
      <c r="H8" s="100" t="s">
        <v>526</v>
      </c>
      <c r="I8" s="100" t="s">
        <v>526</v>
      </c>
      <c r="J8" s="100" t="s">
        <v>526</v>
      </c>
      <c r="K8" s="100" t="s">
        <v>526</v>
      </c>
      <c r="L8" s="100" t="s">
        <v>526</v>
      </c>
      <c r="M8" s="100" t="s">
        <v>526</v>
      </c>
      <c r="N8" s="100" t="s">
        <v>526</v>
      </c>
      <c r="O8" s="100" t="s">
        <v>390</v>
      </c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1"/>
      <c r="AA8" s="100"/>
      <c r="AB8" s="100"/>
      <c r="AC8" s="7">
        <v>26</v>
      </c>
      <c r="AD8" s="7">
        <f t="shared" si="0"/>
        <v>1</v>
      </c>
      <c r="AE8" s="7">
        <f t="shared" si="1"/>
        <v>0</v>
      </c>
      <c r="AF8" s="7">
        <f t="shared" si="2"/>
        <v>0</v>
      </c>
      <c r="AG8" s="7" t="str">
        <f t="shared" si="3"/>
        <v>Excellent!</v>
      </c>
      <c r="AH8" s="137">
        <f t="shared" si="4"/>
        <v>3.8461538461538463</v>
      </c>
      <c r="AI8" s="41" t="str">
        <f t="shared" si="5"/>
        <v>Not Eligible</v>
      </c>
    </row>
    <row r="9" spans="1:35" x14ac:dyDescent="0.25">
      <c r="A9" s="41">
        <v>8</v>
      </c>
      <c r="B9" s="7" t="s">
        <v>528</v>
      </c>
      <c r="C9" s="100" t="s">
        <v>526</v>
      </c>
      <c r="D9" s="100" t="s">
        <v>526</v>
      </c>
      <c r="E9" s="100" t="s">
        <v>526</v>
      </c>
      <c r="F9" s="100" t="s">
        <v>526</v>
      </c>
      <c r="G9" s="100" t="s">
        <v>526</v>
      </c>
      <c r="H9" s="100" t="s">
        <v>526</v>
      </c>
      <c r="I9" s="100" t="s">
        <v>526</v>
      </c>
      <c r="J9" s="100" t="s">
        <v>526</v>
      </c>
      <c r="K9" s="100" t="s">
        <v>526</v>
      </c>
      <c r="L9" s="100" t="s">
        <v>526</v>
      </c>
      <c r="M9" s="100" t="s">
        <v>526</v>
      </c>
      <c r="N9" s="100" t="s">
        <v>526</v>
      </c>
      <c r="O9" s="100" t="s">
        <v>390</v>
      </c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1"/>
      <c r="AA9" s="100"/>
      <c r="AB9" s="100"/>
      <c r="AC9" s="7">
        <v>26</v>
      </c>
      <c r="AD9" s="7">
        <f t="shared" si="0"/>
        <v>1</v>
      </c>
      <c r="AE9" s="7">
        <f t="shared" si="1"/>
        <v>0</v>
      </c>
      <c r="AF9" s="7">
        <f t="shared" si="2"/>
        <v>0</v>
      </c>
      <c r="AG9" s="7" t="str">
        <f t="shared" si="3"/>
        <v>Excellent!</v>
      </c>
      <c r="AH9" s="137">
        <f t="shared" si="4"/>
        <v>3.8461538461538463</v>
      </c>
      <c r="AI9" s="41" t="str">
        <f t="shared" si="5"/>
        <v>Not Eligible</v>
      </c>
    </row>
    <row r="10" spans="1:35" x14ac:dyDescent="0.25">
      <c r="A10" s="41">
        <v>9</v>
      </c>
      <c r="B10" s="7"/>
      <c r="C10" s="152"/>
      <c r="D10" s="152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1"/>
      <c r="AA10" s="100"/>
      <c r="AB10" s="100"/>
      <c r="AC10" s="7">
        <v>26</v>
      </c>
      <c r="AD10" s="7">
        <f t="shared" si="0"/>
        <v>0</v>
      </c>
      <c r="AE10" s="7">
        <f t="shared" si="1"/>
        <v>0</v>
      </c>
      <c r="AF10" s="7">
        <f t="shared" si="2"/>
        <v>0</v>
      </c>
      <c r="AG10" s="7" t="str">
        <f t="shared" si="3"/>
        <v>Excellent!</v>
      </c>
      <c r="AH10" s="137">
        <f t="shared" si="4"/>
        <v>0</v>
      </c>
      <c r="AI10" s="41" t="str">
        <f t="shared" si="5"/>
        <v>Not Eligible</v>
      </c>
    </row>
    <row r="11" spans="1:35" x14ac:dyDescent="0.25">
      <c r="A11" s="41">
        <v>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21"/>
      <c r="AA11" s="7"/>
      <c r="AB11" s="7"/>
      <c r="AC11" s="7"/>
      <c r="AD11" s="7"/>
      <c r="AE11" s="7"/>
      <c r="AF11" s="7"/>
      <c r="AG11" s="7"/>
      <c r="AH11" s="137">
        <f t="shared" si="4"/>
        <v>0</v>
      </c>
      <c r="AI11" s="41"/>
    </row>
    <row r="12" spans="1:35" x14ac:dyDescent="0.25">
      <c r="A12" s="41"/>
      <c r="B12" s="166" t="s">
        <v>498</v>
      </c>
      <c r="C12" s="167">
        <v>45803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21"/>
      <c r="AA12" s="7"/>
      <c r="AB12" s="7"/>
      <c r="AC12" s="7"/>
      <c r="AD12" s="7"/>
      <c r="AE12" s="7"/>
      <c r="AF12" s="7"/>
      <c r="AG12" s="7"/>
      <c r="AH12" s="137">
        <f t="shared" si="4"/>
        <v>0</v>
      </c>
      <c r="AI12" s="41"/>
    </row>
    <row r="13" spans="1:35" x14ac:dyDescent="0.25">
      <c r="A13" s="4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21"/>
      <c r="AA13" s="7"/>
      <c r="AB13" s="7"/>
      <c r="AC13" s="7"/>
      <c r="AD13" s="7"/>
      <c r="AE13" s="7"/>
      <c r="AF13" s="7"/>
      <c r="AG13" s="7"/>
      <c r="AH13" s="137">
        <f t="shared" si="4"/>
        <v>0</v>
      </c>
      <c r="AI13" s="41"/>
    </row>
    <row r="14" spans="1:35" x14ac:dyDescent="0.25">
      <c r="A14" s="4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21"/>
      <c r="AA14" s="7"/>
      <c r="AB14" s="7"/>
      <c r="AC14" s="7"/>
      <c r="AD14" s="7"/>
      <c r="AE14" s="7"/>
      <c r="AF14" s="7"/>
      <c r="AG14" s="7"/>
      <c r="AH14" s="137">
        <f t="shared" si="4"/>
        <v>0</v>
      </c>
      <c r="AI14" s="41"/>
    </row>
    <row r="15" spans="1:35" x14ac:dyDescent="0.25">
      <c r="A15" s="4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1"/>
      <c r="AA15" s="7"/>
      <c r="AB15" s="7"/>
      <c r="AC15" s="7"/>
      <c r="AD15" s="7"/>
      <c r="AE15" s="7"/>
      <c r="AF15" s="7"/>
      <c r="AG15" s="7"/>
      <c r="AH15" s="137">
        <f t="shared" si="4"/>
        <v>0</v>
      </c>
      <c r="AI15" s="41"/>
    </row>
    <row r="16" spans="1:35" x14ac:dyDescent="0.25">
      <c r="A16" s="4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1"/>
      <c r="AA16" s="7"/>
      <c r="AB16" s="7"/>
      <c r="AC16" s="7"/>
      <c r="AD16" s="7"/>
      <c r="AE16" s="7"/>
      <c r="AF16" s="7"/>
      <c r="AG16" s="7"/>
      <c r="AH16" s="137">
        <f t="shared" si="4"/>
        <v>0</v>
      </c>
      <c r="AI16" s="41"/>
    </row>
  </sheetData>
  <conditionalFormatting sqref="C2:G6 P2:AB7 H6:N6 O6:O7 C7:N7 C8:AB10">
    <cfRule type="cellIs" dxfId="12" priority="6" operator="equal">
      <formula>"L"</formula>
    </cfRule>
    <cfRule type="cellIs" dxfId="11" priority="7" operator="equal">
      <formula>"A"</formula>
    </cfRule>
    <cfRule type="cellIs" dxfId="10" priority="8" operator="equal">
      <formula>"P"</formula>
    </cfRule>
  </conditionalFormatting>
  <conditionalFormatting sqref="H2:O5">
    <cfRule type="cellIs" dxfId="9" priority="1" operator="equal">
      <formula>"L"</formula>
    </cfRule>
    <cfRule type="cellIs" dxfId="8" priority="2" operator="equal">
      <formula>"A"</formula>
    </cfRule>
    <cfRule type="cellIs" dxfId="7" priority="3" operator="equal">
      <formula>"P"</formula>
    </cfRule>
  </conditionalFormatting>
  <conditionalFormatting sqref="AI2:AI16">
    <cfRule type="containsText" dxfId="6" priority="4" operator="containsText" text="Not Eligible">
      <formula>NOT(ISERROR(SEARCH("Not Eligible",AI2)))</formula>
    </cfRule>
    <cfRule type="containsText" dxfId="5" priority="5" operator="containsText" text="Eligible">
      <formula>NOT(ISERROR(SEARCH("Eligible",AI2)))</formula>
    </cfRule>
  </conditionalFormatting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15"/>
  <sheetViews>
    <sheetView topLeftCell="B1" workbookViewId="0">
      <selection activeCell="I2" sqref="I2"/>
    </sheetView>
  </sheetViews>
  <sheetFormatPr defaultRowHeight="15" x14ac:dyDescent="0.25"/>
  <cols>
    <col min="2" max="2" width="20.140625" bestFit="1" customWidth="1"/>
    <col min="3" max="3" width="10.140625" bestFit="1" customWidth="1"/>
  </cols>
  <sheetData>
    <row r="1" spans="1:36" ht="30" x14ac:dyDescent="0.25">
      <c r="A1" s="123" t="s">
        <v>479</v>
      </c>
      <c r="B1" s="123" t="s">
        <v>0</v>
      </c>
      <c r="C1" s="123">
        <v>1</v>
      </c>
      <c r="D1" s="123">
        <v>2</v>
      </c>
      <c r="E1" s="123">
        <v>4</v>
      </c>
      <c r="F1" s="123">
        <v>5</v>
      </c>
      <c r="G1" s="123">
        <v>6</v>
      </c>
      <c r="H1" s="123">
        <v>8</v>
      </c>
      <c r="I1" s="123">
        <v>9</v>
      </c>
      <c r="J1" s="123">
        <v>10</v>
      </c>
      <c r="K1" s="123">
        <v>11</v>
      </c>
      <c r="L1" s="123">
        <v>12</v>
      </c>
      <c r="M1" s="123">
        <v>13</v>
      </c>
      <c r="N1" s="123">
        <v>15</v>
      </c>
      <c r="O1" s="123">
        <v>16</v>
      </c>
      <c r="P1" s="123">
        <v>17</v>
      </c>
      <c r="Q1" s="123">
        <v>18</v>
      </c>
      <c r="R1" s="123">
        <v>19</v>
      </c>
      <c r="S1" s="123">
        <v>20</v>
      </c>
      <c r="T1" s="123">
        <v>21</v>
      </c>
      <c r="U1" s="123">
        <v>22</v>
      </c>
      <c r="V1" s="123">
        <v>23</v>
      </c>
      <c r="W1" s="123">
        <v>24</v>
      </c>
      <c r="X1" s="123">
        <v>25</v>
      </c>
      <c r="Y1" s="123">
        <v>26</v>
      </c>
      <c r="Z1" s="123">
        <v>27</v>
      </c>
      <c r="AA1" s="123">
        <v>28</v>
      </c>
      <c r="AB1" s="123">
        <v>29</v>
      </c>
      <c r="AC1" s="123">
        <v>30</v>
      </c>
      <c r="AD1" s="124" t="s">
        <v>77</v>
      </c>
      <c r="AE1" s="123" t="s">
        <v>92</v>
      </c>
      <c r="AF1" s="123" t="s">
        <v>93</v>
      </c>
      <c r="AG1" s="123" t="s">
        <v>94</v>
      </c>
      <c r="AH1" s="123" t="s">
        <v>95</v>
      </c>
      <c r="AI1" s="123" t="s">
        <v>7</v>
      </c>
      <c r="AJ1" s="123" t="s">
        <v>428</v>
      </c>
    </row>
    <row r="2" spans="1:36" ht="15" customHeight="1" x14ac:dyDescent="0.25">
      <c r="A2" s="41">
        <v>1</v>
      </c>
      <c r="B2" s="7" t="s">
        <v>506</v>
      </c>
      <c r="C2" s="100" t="s">
        <v>40</v>
      </c>
      <c r="D2" s="100" t="s">
        <v>390</v>
      </c>
      <c r="E2" s="100" t="s">
        <v>390</v>
      </c>
      <c r="F2" s="100" t="s">
        <v>390</v>
      </c>
      <c r="G2" s="100" t="s">
        <v>390</v>
      </c>
      <c r="H2" s="100" t="s">
        <v>390</v>
      </c>
      <c r="I2" s="100" t="s">
        <v>390</v>
      </c>
      <c r="J2" s="100" t="s">
        <v>390</v>
      </c>
      <c r="K2" s="100" t="s">
        <v>40</v>
      </c>
      <c r="L2" s="100" t="s">
        <v>390</v>
      </c>
      <c r="M2" s="100" t="s">
        <v>390</v>
      </c>
      <c r="N2" s="100"/>
      <c r="O2" s="100"/>
      <c r="P2" s="100"/>
      <c r="Q2" s="100"/>
      <c r="R2" s="100"/>
      <c r="S2" s="100"/>
      <c r="T2" s="101"/>
      <c r="U2" s="100"/>
      <c r="V2" s="100"/>
      <c r="W2" s="100"/>
      <c r="X2" s="100"/>
      <c r="Y2" s="100"/>
      <c r="Z2" s="100"/>
      <c r="AA2" s="101"/>
      <c r="AB2" s="100"/>
      <c r="AC2" s="100"/>
      <c r="AD2" s="7">
        <v>26</v>
      </c>
      <c r="AE2" s="7">
        <f t="shared" ref="AE2:AE9" si="0">COUNTIF(C2:AC2, "P")</f>
        <v>9</v>
      </c>
      <c r="AF2" s="7">
        <f t="shared" ref="AF2:AF9" si="1">COUNTIF(C2:AC2, "A")</f>
        <v>2</v>
      </c>
      <c r="AG2" s="7">
        <f t="shared" ref="AG2:AG9" si="2">COUNTIF(C2:AC2, "L")</f>
        <v>0</v>
      </c>
      <c r="AH2" s="7" t="str">
        <f>IF(AF2=0, "Excellent!", IF(AF2=1, "Good", IF(AF2=2, "Fair", IF(AF2=3, "Be Punctual", IF(AF2=4, "Plz Contact", "Struck off")))))</f>
        <v>Fair</v>
      </c>
      <c r="AI2" s="137">
        <f>AE2*100/26</f>
        <v>34.615384615384613</v>
      </c>
      <c r="AJ2" s="41" t="str">
        <f>IF(AND(AI2&gt;70, AI2&lt;=100),"Eligible","Not Eligible")</f>
        <v>Not Eligible</v>
      </c>
    </row>
    <row r="3" spans="1:36" x14ac:dyDescent="0.25">
      <c r="A3" s="41">
        <v>2</v>
      </c>
      <c r="B3" s="7" t="s">
        <v>507</v>
      </c>
      <c r="C3" s="100" t="s">
        <v>390</v>
      </c>
      <c r="D3" s="100" t="s">
        <v>390</v>
      </c>
      <c r="E3" s="100" t="s">
        <v>390</v>
      </c>
      <c r="F3" s="100" t="s">
        <v>40</v>
      </c>
      <c r="G3" s="100" t="s">
        <v>40</v>
      </c>
      <c r="H3" s="100" t="s">
        <v>390</v>
      </c>
      <c r="I3" s="100" t="s">
        <v>390</v>
      </c>
      <c r="J3" s="100" t="s">
        <v>40</v>
      </c>
      <c r="K3" s="100" t="s">
        <v>40</v>
      </c>
      <c r="L3" s="100" t="s">
        <v>390</v>
      </c>
      <c r="M3" s="100" t="s">
        <v>390</v>
      </c>
      <c r="N3" s="100"/>
      <c r="O3" s="100"/>
      <c r="P3" s="100"/>
      <c r="Q3" s="100"/>
      <c r="R3" s="100"/>
      <c r="S3" s="100"/>
      <c r="T3" s="101"/>
      <c r="U3" s="100"/>
      <c r="V3" s="100"/>
      <c r="W3" s="100"/>
      <c r="X3" s="100"/>
      <c r="Y3" s="100"/>
      <c r="Z3" s="100"/>
      <c r="AA3" s="101"/>
      <c r="AB3" s="100"/>
      <c r="AC3" s="100"/>
      <c r="AD3" s="7">
        <v>26</v>
      </c>
      <c r="AE3" s="7">
        <f t="shared" si="0"/>
        <v>7</v>
      </c>
      <c r="AF3" s="7">
        <f t="shared" si="1"/>
        <v>4</v>
      </c>
      <c r="AG3" s="7">
        <f t="shared" si="2"/>
        <v>0</v>
      </c>
      <c r="AH3" s="7" t="str">
        <f t="shared" ref="AH3:AH9" si="3">IF(AF3=0, "Excellent!", IF(AF3=1, "Good", IF(AF3=2, "Fair", IF(AF3=3, "Be Punctual", IF(AF3=4, "Plz Contact", "Struck off")))))</f>
        <v>Plz Contact</v>
      </c>
      <c r="AI3" s="137">
        <f t="shared" ref="AI3:AI15" si="4">AE3*100/26</f>
        <v>26.923076923076923</v>
      </c>
      <c r="AJ3" s="41" t="str">
        <f t="shared" ref="AJ3:AJ9" si="5">IF(AND(AI3&gt;70, AI3&lt;=100),"Eligible","Not Eligible")</f>
        <v>Not Eligible</v>
      </c>
    </row>
    <row r="4" spans="1:36" x14ac:dyDescent="0.25">
      <c r="A4" s="41">
        <v>3</v>
      </c>
      <c r="B4" s="7" t="s">
        <v>508</v>
      </c>
      <c r="C4" s="100" t="s">
        <v>390</v>
      </c>
      <c r="D4" s="100" t="s">
        <v>390</v>
      </c>
      <c r="E4" s="100" t="s">
        <v>40</v>
      </c>
      <c r="F4" s="100" t="s">
        <v>40</v>
      </c>
      <c r="G4" s="100" t="s">
        <v>40</v>
      </c>
      <c r="H4" s="100" t="s">
        <v>390</v>
      </c>
      <c r="I4" s="100" t="s">
        <v>390</v>
      </c>
      <c r="J4" s="100" t="s">
        <v>390</v>
      </c>
      <c r="K4" s="100" t="s">
        <v>40</v>
      </c>
      <c r="L4" s="100" t="s">
        <v>390</v>
      </c>
      <c r="M4" s="100" t="s">
        <v>390</v>
      </c>
      <c r="N4" s="100"/>
      <c r="O4" s="100"/>
      <c r="P4" s="100"/>
      <c r="Q4" s="100"/>
      <c r="R4" s="100"/>
      <c r="S4" s="100"/>
      <c r="T4" s="101"/>
      <c r="U4" s="100"/>
      <c r="V4" s="100"/>
      <c r="W4" s="100"/>
      <c r="X4" s="100"/>
      <c r="Y4" s="100"/>
      <c r="Z4" s="100"/>
      <c r="AA4" s="101"/>
      <c r="AB4" s="100"/>
      <c r="AC4" s="100"/>
      <c r="AD4" s="7">
        <v>26</v>
      </c>
      <c r="AE4" s="7">
        <f t="shared" si="0"/>
        <v>7</v>
      </c>
      <c r="AF4" s="7">
        <f t="shared" si="1"/>
        <v>4</v>
      </c>
      <c r="AG4" s="7">
        <f t="shared" si="2"/>
        <v>0</v>
      </c>
      <c r="AH4" s="7" t="str">
        <f t="shared" si="3"/>
        <v>Plz Contact</v>
      </c>
      <c r="AI4" s="137">
        <f t="shared" si="4"/>
        <v>26.923076923076923</v>
      </c>
      <c r="AJ4" s="41" t="str">
        <f t="shared" si="5"/>
        <v>Not Eligible</v>
      </c>
    </row>
    <row r="5" spans="1:36" x14ac:dyDescent="0.25">
      <c r="A5" s="41">
        <v>5</v>
      </c>
      <c r="B5" s="7" t="s">
        <v>511</v>
      </c>
      <c r="C5" s="100" t="s">
        <v>40</v>
      </c>
      <c r="D5" s="100" t="s">
        <v>40</v>
      </c>
      <c r="E5" s="100" t="s">
        <v>40</v>
      </c>
      <c r="F5" s="100" t="s">
        <v>40</v>
      </c>
      <c r="G5" s="100" t="s">
        <v>40</v>
      </c>
      <c r="H5" s="100" t="s">
        <v>390</v>
      </c>
      <c r="I5" s="100" t="s">
        <v>390</v>
      </c>
      <c r="J5" s="100" t="s">
        <v>390</v>
      </c>
      <c r="K5" s="100" t="s">
        <v>40</v>
      </c>
      <c r="L5" s="100" t="s">
        <v>390</v>
      </c>
      <c r="M5" s="100" t="s">
        <v>390</v>
      </c>
      <c r="N5" s="100"/>
      <c r="O5" s="100"/>
      <c r="P5" s="100"/>
      <c r="Q5" s="100"/>
      <c r="R5" s="100"/>
      <c r="S5" s="100"/>
      <c r="T5" s="101"/>
      <c r="U5" s="100"/>
      <c r="V5" s="100"/>
      <c r="W5" s="100"/>
      <c r="X5" s="100"/>
      <c r="Y5" s="100"/>
      <c r="Z5" s="100"/>
      <c r="AA5" s="101"/>
      <c r="AB5" s="100"/>
      <c r="AC5" s="100"/>
      <c r="AD5" s="7">
        <v>26</v>
      </c>
      <c r="AE5" s="7">
        <f t="shared" si="0"/>
        <v>5</v>
      </c>
      <c r="AF5" s="7">
        <f t="shared" si="1"/>
        <v>6</v>
      </c>
      <c r="AG5" s="7">
        <f t="shared" si="2"/>
        <v>0</v>
      </c>
      <c r="AH5" s="7" t="str">
        <f t="shared" si="3"/>
        <v>Struck off</v>
      </c>
      <c r="AI5" s="137">
        <f t="shared" si="4"/>
        <v>19.23076923076923</v>
      </c>
      <c r="AJ5" s="41" t="str">
        <f t="shared" si="5"/>
        <v>Not Eligible</v>
      </c>
    </row>
    <row r="6" spans="1:36" x14ac:dyDescent="0.25">
      <c r="A6" s="41">
        <v>6</v>
      </c>
      <c r="B6" s="7" t="s">
        <v>524</v>
      </c>
      <c r="C6" s="100" t="s">
        <v>40</v>
      </c>
      <c r="D6" s="100" t="s">
        <v>40</v>
      </c>
      <c r="E6" s="100" t="s">
        <v>40</v>
      </c>
      <c r="F6" s="100" t="s">
        <v>40</v>
      </c>
      <c r="G6" s="100" t="s">
        <v>40</v>
      </c>
      <c r="H6" s="100" t="s">
        <v>40</v>
      </c>
      <c r="I6" s="100" t="s">
        <v>40</v>
      </c>
      <c r="J6" s="100" t="s">
        <v>40</v>
      </c>
      <c r="K6" s="100" t="s">
        <v>40</v>
      </c>
      <c r="L6" s="100" t="s">
        <v>390</v>
      </c>
      <c r="M6" s="100" t="s">
        <v>390</v>
      </c>
      <c r="N6" s="100"/>
      <c r="O6" s="100"/>
      <c r="P6" s="100"/>
      <c r="Q6" s="100"/>
      <c r="R6" s="100"/>
      <c r="S6" s="100"/>
      <c r="T6" s="101"/>
      <c r="U6" s="100"/>
      <c r="V6" s="100"/>
      <c r="W6" s="100"/>
      <c r="X6" s="100"/>
      <c r="Y6" s="100"/>
      <c r="Z6" s="100"/>
      <c r="AA6" s="101"/>
      <c r="AB6" s="100"/>
      <c r="AC6" s="100"/>
      <c r="AD6" s="7">
        <v>26</v>
      </c>
      <c r="AE6" s="7">
        <f t="shared" si="0"/>
        <v>2</v>
      </c>
      <c r="AF6" s="7">
        <f t="shared" si="1"/>
        <v>9</v>
      </c>
      <c r="AG6" s="7">
        <f t="shared" si="2"/>
        <v>0</v>
      </c>
      <c r="AH6" s="7" t="str">
        <f t="shared" si="3"/>
        <v>Struck off</v>
      </c>
      <c r="AI6" s="137">
        <f t="shared" si="4"/>
        <v>7.6923076923076925</v>
      </c>
      <c r="AJ6" s="41" t="str">
        <f t="shared" si="5"/>
        <v>Not Eligible</v>
      </c>
    </row>
    <row r="7" spans="1:36" x14ac:dyDescent="0.25">
      <c r="A7" s="41">
        <v>7</v>
      </c>
      <c r="B7" s="7" t="s">
        <v>525</v>
      </c>
      <c r="C7" s="100" t="s">
        <v>40</v>
      </c>
      <c r="D7" s="100" t="s">
        <v>40</v>
      </c>
      <c r="E7" s="100" t="s">
        <v>40</v>
      </c>
      <c r="F7" s="100" t="s">
        <v>40</v>
      </c>
      <c r="G7" s="100" t="s">
        <v>40</v>
      </c>
      <c r="H7" s="100" t="s">
        <v>40</v>
      </c>
      <c r="I7" s="100" t="s">
        <v>40</v>
      </c>
      <c r="J7" s="100" t="s">
        <v>40</v>
      </c>
      <c r="K7" s="100" t="s">
        <v>390</v>
      </c>
      <c r="L7" s="100" t="s">
        <v>40</v>
      </c>
      <c r="M7" s="100" t="s">
        <v>390</v>
      </c>
      <c r="N7" s="100"/>
      <c r="O7" s="100"/>
      <c r="P7" s="100"/>
      <c r="Q7" s="100"/>
      <c r="R7" s="100"/>
      <c r="S7" s="100"/>
      <c r="T7" s="101"/>
      <c r="U7" s="100"/>
      <c r="V7" s="100"/>
      <c r="W7" s="100"/>
      <c r="X7" s="100"/>
      <c r="Y7" s="100"/>
      <c r="Z7" s="100"/>
      <c r="AA7" s="101"/>
      <c r="AB7" s="100"/>
      <c r="AC7" s="100"/>
      <c r="AD7" s="7">
        <v>26</v>
      </c>
      <c r="AE7" s="7">
        <f t="shared" si="0"/>
        <v>2</v>
      </c>
      <c r="AF7" s="7">
        <f t="shared" si="1"/>
        <v>9</v>
      </c>
      <c r="AG7" s="7">
        <f t="shared" si="2"/>
        <v>0</v>
      </c>
      <c r="AH7" s="7" t="str">
        <f t="shared" si="3"/>
        <v>Struck off</v>
      </c>
      <c r="AI7" s="137">
        <f t="shared" si="4"/>
        <v>7.6923076923076925</v>
      </c>
      <c r="AJ7" s="41" t="str">
        <f t="shared" si="5"/>
        <v>Not Eligible</v>
      </c>
    </row>
    <row r="8" spans="1:36" x14ac:dyDescent="0.25">
      <c r="A8" s="41">
        <v>4</v>
      </c>
      <c r="B8" s="7" t="s">
        <v>509</v>
      </c>
      <c r="C8" s="100" t="s">
        <v>390</v>
      </c>
      <c r="D8" s="100" t="s">
        <v>390</v>
      </c>
      <c r="E8" s="100" t="s">
        <v>40</v>
      </c>
      <c r="F8" s="100" t="s">
        <v>40</v>
      </c>
      <c r="G8" s="100" t="s">
        <v>40</v>
      </c>
      <c r="H8" s="100" t="s">
        <v>40</v>
      </c>
      <c r="I8" s="100" t="s">
        <v>40</v>
      </c>
      <c r="J8" s="100" t="s">
        <v>40</v>
      </c>
      <c r="K8" s="100" t="s">
        <v>40</v>
      </c>
      <c r="L8" s="100" t="s">
        <v>40</v>
      </c>
      <c r="M8" s="100" t="s">
        <v>40</v>
      </c>
      <c r="N8" s="100"/>
      <c r="O8" s="100"/>
      <c r="P8" s="100"/>
      <c r="Q8" s="100"/>
      <c r="R8" s="100"/>
      <c r="S8" s="100"/>
      <c r="T8" s="101"/>
      <c r="U8" s="100"/>
      <c r="V8" s="100"/>
      <c r="W8" s="100"/>
      <c r="X8" s="100"/>
      <c r="Y8" s="100"/>
      <c r="Z8" s="100"/>
      <c r="AA8" s="101"/>
      <c r="AB8" s="100"/>
      <c r="AC8" s="100"/>
      <c r="AD8" s="7">
        <v>26</v>
      </c>
      <c r="AE8" s="7">
        <f t="shared" si="0"/>
        <v>2</v>
      </c>
      <c r="AF8" s="7">
        <f t="shared" si="1"/>
        <v>9</v>
      </c>
      <c r="AG8" s="7">
        <f t="shared" si="2"/>
        <v>0</v>
      </c>
      <c r="AH8" s="7" t="str">
        <f>IF(AF8=0, "Excellent!", IF(AF8=1, "Good", IF(AF8=2, "Fair", IF(AF8=3, "Be Punctual", IF(AF8=4, "Plz Contact", "Struck off")))))</f>
        <v>Struck off</v>
      </c>
      <c r="AI8" s="137">
        <f>AE8*100/26</f>
        <v>7.6923076923076925</v>
      </c>
      <c r="AJ8" s="41" t="str">
        <f>IF(AND(AI8&gt;70, AI8&lt;=100),"Eligible","Not Eligible")</f>
        <v>Not Eligible</v>
      </c>
    </row>
    <row r="9" spans="1:36" x14ac:dyDescent="0.25">
      <c r="A9" s="41">
        <v>9</v>
      </c>
      <c r="B9" s="7"/>
      <c r="C9" s="152"/>
      <c r="D9" s="152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0"/>
      <c r="V9" s="100"/>
      <c r="W9" s="100"/>
      <c r="X9" s="100"/>
      <c r="Y9" s="100"/>
      <c r="Z9" s="100"/>
      <c r="AA9" s="101"/>
      <c r="AB9" s="100"/>
      <c r="AC9" s="100"/>
      <c r="AD9" s="7">
        <v>26</v>
      </c>
      <c r="AE9" s="7">
        <f t="shared" si="0"/>
        <v>0</v>
      </c>
      <c r="AF9" s="7">
        <f t="shared" si="1"/>
        <v>0</v>
      </c>
      <c r="AG9" s="7">
        <f t="shared" si="2"/>
        <v>0</v>
      </c>
      <c r="AH9" s="7" t="str">
        <f t="shared" si="3"/>
        <v>Excellent!</v>
      </c>
      <c r="AI9" s="137">
        <f t="shared" si="4"/>
        <v>0</v>
      </c>
      <c r="AJ9" s="41" t="str">
        <f t="shared" si="5"/>
        <v>Not Eligible</v>
      </c>
    </row>
    <row r="10" spans="1:36" x14ac:dyDescent="0.25">
      <c r="A10" s="41">
        <v>10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1"/>
      <c r="U10" s="7"/>
      <c r="V10" s="7"/>
      <c r="W10" s="7"/>
      <c r="X10" s="7"/>
      <c r="Y10" s="7"/>
      <c r="Z10" s="7"/>
      <c r="AA10" s="21"/>
      <c r="AB10" s="7"/>
      <c r="AC10" s="7"/>
      <c r="AD10" s="7"/>
      <c r="AE10" s="7"/>
      <c r="AF10" s="7"/>
      <c r="AG10" s="7"/>
      <c r="AH10" s="7"/>
      <c r="AI10" s="137">
        <f t="shared" si="4"/>
        <v>0</v>
      </c>
      <c r="AJ10" s="41"/>
    </row>
    <row r="11" spans="1:36" x14ac:dyDescent="0.25">
      <c r="A11" s="41"/>
      <c r="B11" s="166" t="s">
        <v>498</v>
      </c>
      <c r="C11" s="167">
        <v>45803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21"/>
      <c r="U11" s="7"/>
      <c r="V11" s="7"/>
      <c r="W11" s="7"/>
      <c r="X11" s="7"/>
      <c r="Y11" s="7"/>
      <c r="Z11" s="7"/>
      <c r="AA11" s="21"/>
      <c r="AB11" s="7"/>
      <c r="AC11" s="7"/>
      <c r="AD11" s="7"/>
      <c r="AE11" s="7"/>
      <c r="AF11" s="7"/>
      <c r="AG11" s="7"/>
      <c r="AH11" s="7"/>
      <c r="AI11" s="137">
        <f t="shared" si="4"/>
        <v>0</v>
      </c>
      <c r="AJ11" s="41"/>
    </row>
    <row r="12" spans="1:36" x14ac:dyDescent="0.25">
      <c r="A12" s="4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21"/>
      <c r="U12" s="7"/>
      <c r="V12" s="7"/>
      <c r="W12" s="7"/>
      <c r="X12" s="7"/>
      <c r="Y12" s="7"/>
      <c r="Z12" s="7"/>
      <c r="AA12" s="21"/>
      <c r="AB12" s="7"/>
      <c r="AC12" s="7"/>
      <c r="AD12" s="7"/>
      <c r="AE12" s="7"/>
      <c r="AF12" s="7"/>
      <c r="AG12" s="7"/>
      <c r="AH12" s="7"/>
      <c r="AI12" s="137">
        <f t="shared" si="4"/>
        <v>0</v>
      </c>
      <c r="AJ12" s="41"/>
    </row>
    <row r="13" spans="1:36" x14ac:dyDescent="0.25">
      <c r="A13" s="4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21"/>
      <c r="U13" s="7"/>
      <c r="V13" s="7"/>
      <c r="W13" s="7"/>
      <c r="X13" s="7"/>
      <c r="Y13" s="7"/>
      <c r="Z13" s="7"/>
      <c r="AA13" s="21"/>
      <c r="AB13" s="7"/>
      <c r="AC13" s="7"/>
      <c r="AD13" s="7"/>
      <c r="AE13" s="7"/>
      <c r="AF13" s="7"/>
      <c r="AG13" s="7"/>
      <c r="AH13" s="7"/>
      <c r="AI13" s="137">
        <f t="shared" si="4"/>
        <v>0</v>
      </c>
      <c r="AJ13" s="41"/>
    </row>
    <row r="14" spans="1:36" x14ac:dyDescent="0.25">
      <c r="A14" s="4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21"/>
      <c r="U14" s="7"/>
      <c r="V14" s="7"/>
      <c r="W14" s="7"/>
      <c r="X14" s="7"/>
      <c r="Y14" s="7"/>
      <c r="Z14" s="7"/>
      <c r="AA14" s="21"/>
      <c r="AB14" s="7"/>
      <c r="AC14" s="7"/>
      <c r="AD14" s="7"/>
      <c r="AE14" s="7"/>
      <c r="AF14" s="7"/>
      <c r="AG14" s="7"/>
      <c r="AH14" s="7"/>
      <c r="AI14" s="137">
        <f t="shared" si="4"/>
        <v>0</v>
      </c>
      <c r="AJ14" s="41"/>
    </row>
    <row r="15" spans="1:36" x14ac:dyDescent="0.25">
      <c r="A15" s="4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1"/>
      <c r="U15" s="7"/>
      <c r="V15" s="7"/>
      <c r="W15" s="7"/>
      <c r="X15" s="7"/>
      <c r="Y15" s="7"/>
      <c r="Z15" s="7"/>
      <c r="AA15" s="21"/>
      <c r="AB15" s="7"/>
      <c r="AC15" s="7"/>
      <c r="AD15" s="7"/>
      <c r="AE15" s="7"/>
      <c r="AF15" s="7"/>
      <c r="AG15" s="7"/>
      <c r="AH15" s="7"/>
      <c r="AI15" s="137">
        <f t="shared" si="4"/>
        <v>0</v>
      </c>
      <c r="AJ15" s="41"/>
    </row>
  </sheetData>
  <conditionalFormatting sqref="C2:AC9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</conditionalFormatting>
  <conditionalFormatting sqref="AJ2:AJ15">
    <cfRule type="containsText" dxfId="1" priority="16" operator="containsText" text="Not Eligible">
      <formula>NOT(ISERROR(SEARCH("Not Eligible",AJ2)))</formula>
    </cfRule>
    <cfRule type="containsText" dxfId="0" priority="17" operator="containsText" text="Eligible">
      <formula>NOT(ISERROR(SEARCH("Eligible",AJ2)))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F686-3D58-4EEB-86E7-79DF206AC6D8}">
  <dimension ref="D3:J46"/>
  <sheetViews>
    <sheetView workbookViewId="0">
      <selection activeCell="I9" sqref="I9"/>
    </sheetView>
  </sheetViews>
  <sheetFormatPr defaultRowHeight="20.25" customHeight="1" x14ac:dyDescent="0.25"/>
  <cols>
    <col min="4" max="4" width="10.7109375" style="204" bestFit="1" customWidth="1"/>
    <col min="5" max="5" width="7.42578125" style="204" bestFit="1" customWidth="1"/>
    <col min="6" max="7" width="9.140625" style="204"/>
    <col min="8" max="8" width="5.5703125" bestFit="1" customWidth="1"/>
    <col min="9" max="9" width="8.5703125" bestFit="1" customWidth="1"/>
    <col min="10" max="10" width="8" bestFit="1" customWidth="1"/>
  </cols>
  <sheetData>
    <row r="3" spans="4:10" ht="20.25" customHeight="1" x14ac:dyDescent="0.25">
      <c r="D3" s="205" t="s">
        <v>542</v>
      </c>
      <c r="E3" s="205" t="s">
        <v>543</v>
      </c>
      <c r="F3" s="205" t="s">
        <v>544</v>
      </c>
      <c r="G3" s="205" t="s">
        <v>33</v>
      </c>
      <c r="H3" s="138" t="s">
        <v>545</v>
      </c>
      <c r="I3" s="138" t="s">
        <v>546</v>
      </c>
      <c r="J3" s="138" t="s">
        <v>37</v>
      </c>
    </row>
    <row r="4" spans="4:10" ht="20.25" customHeight="1" x14ac:dyDescent="0.25">
      <c r="D4" s="203">
        <v>45297</v>
      </c>
      <c r="E4" s="144" t="s">
        <v>547</v>
      </c>
      <c r="F4" s="144" t="s">
        <v>548</v>
      </c>
      <c r="G4" s="144" t="s">
        <v>549</v>
      </c>
      <c r="H4" s="7">
        <v>95</v>
      </c>
      <c r="I4" s="7">
        <v>1.99</v>
      </c>
      <c r="J4" s="7">
        <v>189.05</v>
      </c>
    </row>
    <row r="5" spans="4:10" ht="20.25" customHeight="1" x14ac:dyDescent="0.25">
      <c r="D5" s="203">
        <v>45314</v>
      </c>
      <c r="E5" s="144" t="s">
        <v>550</v>
      </c>
      <c r="F5" s="144" t="s">
        <v>551</v>
      </c>
      <c r="G5" s="144" t="s">
        <v>552</v>
      </c>
      <c r="H5" s="7">
        <v>50</v>
      </c>
      <c r="I5" s="7">
        <v>19.989999999999998</v>
      </c>
      <c r="J5" s="7">
        <v>999.5</v>
      </c>
    </row>
    <row r="6" spans="4:10" ht="20.25" customHeight="1" x14ac:dyDescent="0.25">
      <c r="D6" s="203">
        <v>45331</v>
      </c>
      <c r="E6" s="144" t="s">
        <v>550</v>
      </c>
      <c r="F6" s="144" t="s">
        <v>553</v>
      </c>
      <c r="G6" s="144" t="s">
        <v>549</v>
      </c>
      <c r="H6" s="7">
        <v>36</v>
      </c>
      <c r="I6" s="7">
        <v>4.99</v>
      </c>
      <c r="J6" s="7">
        <v>179.64</v>
      </c>
    </row>
    <row r="7" spans="4:10" ht="20.25" customHeight="1" x14ac:dyDescent="0.25">
      <c r="D7" s="203">
        <v>45348</v>
      </c>
      <c r="E7" s="144" t="s">
        <v>550</v>
      </c>
      <c r="F7" s="144" t="s">
        <v>554</v>
      </c>
      <c r="G7" s="144" t="s">
        <v>555</v>
      </c>
      <c r="H7" s="7">
        <v>27</v>
      </c>
      <c r="I7" s="7">
        <v>19.989999999999998</v>
      </c>
      <c r="J7" s="7">
        <v>539.73</v>
      </c>
    </row>
    <row r="8" spans="4:10" ht="20.25" customHeight="1" x14ac:dyDescent="0.25">
      <c r="D8" s="203">
        <v>45366</v>
      </c>
      <c r="E8" s="144" t="s">
        <v>556</v>
      </c>
      <c r="F8" s="144" t="s">
        <v>557</v>
      </c>
      <c r="G8" s="144" t="s">
        <v>549</v>
      </c>
      <c r="H8" s="7">
        <v>56</v>
      </c>
      <c r="I8" s="7">
        <v>2.99</v>
      </c>
      <c r="J8" s="7">
        <v>167.44</v>
      </c>
    </row>
    <row r="9" spans="4:10" ht="20.25" customHeight="1" x14ac:dyDescent="0.25">
      <c r="D9" s="203">
        <v>45383</v>
      </c>
      <c r="E9" s="144" t="s">
        <v>547</v>
      </c>
      <c r="F9" s="144" t="s">
        <v>548</v>
      </c>
      <c r="G9" s="144" t="s">
        <v>552</v>
      </c>
      <c r="H9" s="7">
        <v>60</v>
      </c>
      <c r="I9" s="7">
        <v>4.99</v>
      </c>
      <c r="J9" s="7">
        <v>299.39999999999998</v>
      </c>
    </row>
    <row r="10" spans="4:10" ht="20.25" customHeight="1" x14ac:dyDescent="0.25">
      <c r="D10" s="203">
        <v>45400</v>
      </c>
      <c r="E10" s="144" t="s">
        <v>550</v>
      </c>
      <c r="F10" s="144" t="s">
        <v>558</v>
      </c>
      <c r="G10" s="144" t="s">
        <v>549</v>
      </c>
      <c r="H10" s="7">
        <v>75</v>
      </c>
      <c r="I10" s="7">
        <v>1.99</v>
      </c>
      <c r="J10" s="7">
        <v>149.25</v>
      </c>
    </row>
    <row r="11" spans="4:10" ht="20.25" customHeight="1" x14ac:dyDescent="0.25">
      <c r="D11" s="203">
        <v>45417</v>
      </c>
      <c r="E11" s="144" t="s">
        <v>550</v>
      </c>
      <c r="F11" s="144" t="s">
        <v>553</v>
      </c>
      <c r="G11" s="144" t="s">
        <v>549</v>
      </c>
      <c r="H11" s="7">
        <v>90</v>
      </c>
      <c r="I11" s="7">
        <v>4.99</v>
      </c>
      <c r="J11" s="7">
        <v>449.1</v>
      </c>
    </row>
    <row r="12" spans="4:10" ht="20.25" customHeight="1" x14ac:dyDescent="0.25">
      <c r="D12" s="203">
        <v>45434</v>
      </c>
      <c r="E12" s="144" t="s">
        <v>556</v>
      </c>
      <c r="F12" s="144" t="s">
        <v>559</v>
      </c>
      <c r="G12" s="144" t="s">
        <v>549</v>
      </c>
      <c r="H12" s="7">
        <v>32</v>
      </c>
      <c r="I12" s="7">
        <v>1.99</v>
      </c>
      <c r="J12" s="7">
        <v>63.68</v>
      </c>
    </row>
    <row r="13" spans="4:10" ht="20.25" customHeight="1" x14ac:dyDescent="0.25">
      <c r="D13" s="203">
        <v>45451</v>
      </c>
      <c r="E13" s="144" t="s">
        <v>547</v>
      </c>
      <c r="F13" s="144" t="s">
        <v>548</v>
      </c>
      <c r="G13" s="144" t="s">
        <v>552</v>
      </c>
      <c r="H13" s="7">
        <v>60</v>
      </c>
      <c r="I13" s="7">
        <v>8.99</v>
      </c>
      <c r="J13" s="7">
        <v>539.4</v>
      </c>
    </row>
    <row r="14" spans="4:10" ht="20.25" customHeight="1" x14ac:dyDescent="0.25">
      <c r="D14" s="203">
        <v>45468</v>
      </c>
      <c r="E14" s="144" t="s">
        <v>550</v>
      </c>
      <c r="F14" s="144" t="s">
        <v>560</v>
      </c>
      <c r="G14" s="144" t="s">
        <v>549</v>
      </c>
      <c r="H14" s="7">
        <v>90</v>
      </c>
      <c r="I14" s="7">
        <v>4.99</v>
      </c>
      <c r="J14" s="7">
        <v>449.1</v>
      </c>
    </row>
    <row r="15" spans="4:10" ht="20.25" customHeight="1" x14ac:dyDescent="0.25">
      <c r="D15" s="203">
        <v>45485</v>
      </c>
      <c r="E15" s="144" t="s">
        <v>547</v>
      </c>
      <c r="F15" s="144" t="s">
        <v>561</v>
      </c>
      <c r="G15" s="144" t="s">
        <v>552</v>
      </c>
      <c r="H15" s="7">
        <v>29</v>
      </c>
      <c r="I15" s="7">
        <v>1.99</v>
      </c>
      <c r="J15" s="7">
        <v>57.71</v>
      </c>
    </row>
    <row r="16" spans="4:10" ht="20.25" customHeight="1" x14ac:dyDescent="0.25">
      <c r="D16" s="203">
        <v>45502</v>
      </c>
      <c r="E16" s="144" t="s">
        <v>547</v>
      </c>
      <c r="F16" s="144" t="s">
        <v>562</v>
      </c>
      <c r="G16" s="144" t="s">
        <v>552</v>
      </c>
      <c r="H16" s="7">
        <v>81</v>
      </c>
      <c r="I16" s="7">
        <v>19.989999999999998</v>
      </c>
      <c r="J16" s="7">
        <v>1619.19</v>
      </c>
    </row>
    <row r="17" spans="4:10" ht="20.25" customHeight="1" x14ac:dyDescent="0.25">
      <c r="D17" s="203">
        <v>45519</v>
      </c>
      <c r="E17" s="144" t="s">
        <v>547</v>
      </c>
      <c r="F17" s="144" t="s">
        <v>548</v>
      </c>
      <c r="G17" s="144" t="s">
        <v>549</v>
      </c>
      <c r="H17" s="7">
        <v>35</v>
      </c>
      <c r="I17" s="7">
        <v>4.99</v>
      </c>
      <c r="J17" s="7">
        <v>174.65</v>
      </c>
    </row>
    <row r="18" spans="4:10" ht="20.25" customHeight="1" x14ac:dyDescent="0.25">
      <c r="D18" s="203">
        <v>45536</v>
      </c>
      <c r="E18" s="144" t="s">
        <v>550</v>
      </c>
      <c r="F18" s="144" t="s">
        <v>563</v>
      </c>
      <c r="G18" s="144" t="s">
        <v>564</v>
      </c>
      <c r="H18" s="7">
        <v>2</v>
      </c>
      <c r="I18" s="7">
        <v>125</v>
      </c>
      <c r="J18" s="7">
        <v>250</v>
      </c>
    </row>
    <row r="19" spans="4:10" ht="20.25" customHeight="1" x14ac:dyDescent="0.25">
      <c r="D19" s="203">
        <v>45553</v>
      </c>
      <c r="E19" s="144" t="s">
        <v>547</v>
      </c>
      <c r="F19" s="144" t="s">
        <v>548</v>
      </c>
      <c r="G19" s="144" t="s">
        <v>565</v>
      </c>
      <c r="H19" s="7">
        <v>16</v>
      </c>
      <c r="I19" s="7">
        <v>15.99</v>
      </c>
      <c r="J19" s="7">
        <v>255.84</v>
      </c>
    </row>
    <row r="20" spans="4:10" ht="20.25" customHeight="1" x14ac:dyDescent="0.25">
      <c r="D20" s="203">
        <v>45570</v>
      </c>
      <c r="E20" s="144" t="s">
        <v>550</v>
      </c>
      <c r="F20" s="144" t="s">
        <v>560</v>
      </c>
      <c r="G20" s="144" t="s">
        <v>552</v>
      </c>
      <c r="H20" s="7">
        <v>28</v>
      </c>
      <c r="I20" s="7">
        <v>8.99</v>
      </c>
      <c r="J20" s="7">
        <v>251.72</v>
      </c>
    </row>
    <row r="21" spans="4:10" ht="20.25" customHeight="1" x14ac:dyDescent="0.25">
      <c r="D21" s="203">
        <v>45587</v>
      </c>
      <c r="E21" s="144" t="s">
        <v>547</v>
      </c>
      <c r="F21" s="144" t="s">
        <v>548</v>
      </c>
      <c r="G21" s="144" t="s">
        <v>555</v>
      </c>
      <c r="H21" s="7">
        <v>64</v>
      </c>
      <c r="I21" s="7">
        <v>8.99</v>
      </c>
      <c r="J21" s="7">
        <v>575.36</v>
      </c>
    </row>
    <row r="22" spans="4:10" ht="20.25" customHeight="1" x14ac:dyDescent="0.25">
      <c r="D22" s="203">
        <v>45604</v>
      </c>
      <c r="E22" s="144" t="s">
        <v>547</v>
      </c>
      <c r="F22" s="144" t="s">
        <v>562</v>
      </c>
      <c r="G22" s="144" t="s">
        <v>555</v>
      </c>
      <c r="H22" s="7">
        <v>15</v>
      </c>
      <c r="I22" s="7">
        <v>19.989999999999998</v>
      </c>
      <c r="J22" s="7">
        <v>299.85000000000002</v>
      </c>
    </row>
    <row r="23" spans="4:10" ht="20.25" customHeight="1" x14ac:dyDescent="0.25">
      <c r="D23" s="203">
        <v>45621</v>
      </c>
      <c r="E23" s="144" t="s">
        <v>550</v>
      </c>
      <c r="F23" s="144" t="s">
        <v>551</v>
      </c>
      <c r="G23" s="144" t="s">
        <v>565</v>
      </c>
      <c r="H23" s="7">
        <v>96</v>
      </c>
      <c r="I23" s="7">
        <v>4.99</v>
      </c>
      <c r="J23" s="7">
        <v>479.04</v>
      </c>
    </row>
    <row r="24" spans="4:10" ht="20.25" customHeight="1" x14ac:dyDescent="0.25">
      <c r="D24" s="203">
        <v>45638</v>
      </c>
      <c r="E24" s="144" t="s">
        <v>550</v>
      </c>
      <c r="F24" s="144" t="s">
        <v>563</v>
      </c>
      <c r="G24" s="144" t="s">
        <v>549</v>
      </c>
      <c r="H24" s="7">
        <v>67</v>
      </c>
      <c r="I24" s="7">
        <v>1.29</v>
      </c>
      <c r="J24" s="7">
        <v>86.43</v>
      </c>
    </row>
    <row r="25" spans="4:10" ht="20.25" customHeight="1" x14ac:dyDescent="0.25">
      <c r="D25" s="203">
        <v>45655</v>
      </c>
      <c r="E25" s="144" t="s">
        <v>547</v>
      </c>
      <c r="F25" s="144" t="s">
        <v>562</v>
      </c>
      <c r="G25" s="144" t="s">
        <v>565</v>
      </c>
      <c r="H25" s="7">
        <v>74</v>
      </c>
      <c r="I25" s="7">
        <v>15.99</v>
      </c>
      <c r="J25" s="7">
        <v>1183.26</v>
      </c>
    </row>
    <row r="26" spans="4:10" ht="20.25" customHeight="1" x14ac:dyDescent="0.25">
      <c r="D26" s="203">
        <v>45672</v>
      </c>
      <c r="E26" s="144" t="s">
        <v>550</v>
      </c>
      <c r="F26" s="144" t="s">
        <v>554</v>
      </c>
      <c r="G26" s="144" t="s">
        <v>552</v>
      </c>
      <c r="H26" s="7">
        <v>46</v>
      </c>
      <c r="I26" s="7">
        <v>8.99</v>
      </c>
      <c r="J26" s="7">
        <v>413.54</v>
      </c>
    </row>
    <row r="27" spans="4:10" ht="20.25" customHeight="1" x14ac:dyDescent="0.25">
      <c r="D27" s="203">
        <v>45689</v>
      </c>
      <c r="E27" s="144" t="s">
        <v>550</v>
      </c>
      <c r="F27" s="144" t="s">
        <v>563</v>
      </c>
      <c r="G27" s="144" t="s">
        <v>552</v>
      </c>
      <c r="H27" s="7">
        <v>87</v>
      </c>
      <c r="I27" s="7">
        <v>15</v>
      </c>
      <c r="J27" s="7">
        <v>1305</v>
      </c>
    </row>
    <row r="28" spans="4:10" ht="20.25" customHeight="1" x14ac:dyDescent="0.25">
      <c r="D28" s="203">
        <v>45706</v>
      </c>
      <c r="E28" s="144" t="s">
        <v>547</v>
      </c>
      <c r="F28" s="144" t="s">
        <v>548</v>
      </c>
      <c r="G28" s="144" t="s">
        <v>552</v>
      </c>
      <c r="H28" s="7">
        <v>4</v>
      </c>
      <c r="I28" s="7">
        <v>4.99</v>
      </c>
      <c r="J28" s="7">
        <v>19.96</v>
      </c>
    </row>
    <row r="29" spans="4:10" ht="20.25" customHeight="1" x14ac:dyDescent="0.25">
      <c r="D29" s="203">
        <v>45723</v>
      </c>
      <c r="E29" s="144" t="s">
        <v>556</v>
      </c>
      <c r="F29" s="144" t="s">
        <v>557</v>
      </c>
      <c r="G29" s="144" t="s">
        <v>552</v>
      </c>
      <c r="H29" s="7">
        <v>7</v>
      </c>
      <c r="I29" s="7">
        <v>19.989999999999998</v>
      </c>
      <c r="J29" s="7">
        <v>139.93</v>
      </c>
    </row>
    <row r="30" spans="4:10" ht="20.25" customHeight="1" x14ac:dyDescent="0.25">
      <c r="D30" s="203">
        <v>45740</v>
      </c>
      <c r="E30" s="144" t="s">
        <v>550</v>
      </c>
      <c r="F30" s="144" t="s">
        <v>553</v>
      </c>
      <c r="G30" s="144" t="s">
        <v>565</v>
      </c>
      <c r="H30" s="7">
        <v>50</v>
      </c>
      <c r="I30" s="7">
        <v>4.99</v>
      </c>
      <c r="J30" s="7">
        <v>249.5</v>
      </c>
    </row>
    <row r="31" spans="4:10" ht="20.25" customHeight="1" x14ac:dyDescent="0.25">
      <c r="D31" s="203">
        <v>45757</v>
      </c>
      <c r="E31" s="144" t="s">
        <v>550</v>
      </c>
      <c r="F31" s="144" t="s">
        <v>558</v>
      </c>
      <c r="G31" s="144" t="s">
        <v>549</v>
      </c>
      <c r="H31" s="7">
        <v>66</v>
      </c>
      <c r="I31" s="7">
        <v>1.99</v>
      </c>
      <c r="J31" s="7">
        <v>131.34</v>
      </c>
    </row>
    <row r="32" spans="4:10" ht="20.25" customHeight="1" x14ac:dyDescent="0.25">
      <c r="D32" s="203">
        <v>45774</v>
      </c>
      <c r="E32" s="144" t="s">
        <v>547</v>
      </c>
      <c r="F32" s="144" t="s">
        <v>561</v>
      </c>
      <c r="G32" s="144" t="s">
        <v>555</v>
      </c>
      <c r="H32" s="7">
        <v>96</v>
      </c>
      <c r="I32" s="7">
        <v>4.99</v>
      </c>
      <c r="J32" s="7">
        <v>479.04</v>
      </c>
    </row>
    <row r="33" spans="4:10" ht="20.25" customHeight="1" x14ac:dyDescent="0.25">
      <c r="D33" s="203">
        <v>45791</v>
      </c>
      <c r="E33" s="144" t="s">
        <v>550</v>
      </c>
      <c r="F33" s="144" t="s">
        <v>554</v>
      </c>
      <c r="G33" s="144" t="s">
        <v>549</v>
      </c>
      <c r="H33" s="7">
        <v>53</v>
      </c>
      <c r="I33" s="7">
        <v>1.29</v>
      </c>
      <c r="J33" s="7">
        <v>68.37</v>
      </c>
    </row>
    <row r="34" spans="4:10" ht="20.25" customHeight="1" x14ac:dyDescent="0.25">
      <c r="D34" s="203">
        <v>45808</v>
      </c>
      <c r="E34" s="144" t="s">
        <v>550</v>
      </c>
      <c r="F34" s="144" t="s">
        <v>554</v>
      </c>
      <c r="G34" s="144" t="s">
        <v>552</v>
      </c>
      <c r="H34" s="7">
        <v>80</v>
      </c>
      <c r="I34" s="7">
        <v>8.99</v>
      </c>
      <c r="J34" s="7">
        <v>719.2</v>
      </c>
    </row>
    <row r="35" spans="4:10" ht="20.25" customHeight="1" x14ac:dyDescent="0.25">
      <c r="D35" s="203">
        <v>45825</v>
      </c>
      <c r="E35" s="144" t="s">
        <v>550</v>
      </c>
      <c r="F35" s="144" t="s">
        <v>551</v>
      </c>
      <c r="G35" s="144" t="s">
        <v>564</v>
      </c>
      <c r="H35" s="7">
        <v>5</v>
      </c>
      <c r="I35" s="7">
        <v>125</v>
      </c>
      <c r="J35" s="7">
        <v>625</v>
      </c>
    </row>
    <row r="36" spans="4:10" ht="20.25" customHeight="1" x14ac:dyDescent="0.25">
      <c r="D36" s="203">
        <v>45842</v>
      </c>
      <c r="E36" s="144" t="s">
        <v>547</v>
      </c>
      <c r="F36" s="144" t="s">
        <v>548</v>
      </c>
      <c r="G36" s="144" t="s">
        <v>565</v>
      </c>
      <c r="H36" s="7">
        <v>62</v>
      </c>
      <c r="I36" s="7">
        <v>4.99</v>
      </c>
      <c r="J36" s="7">
        <v>309.38</v>
      </c>
    </row>
    <row r="37" spans="4:10" ht="20.25" customHeight="1" x14ac:dyDescent="0.25">
      <c r="D37" s="203">
        <v>45859</v>
      </c>
      <c r="E37" s="144" t="s">
        <v>550</v>
      </c>
      <c r="F37" s="144" t="s">
        <v>560</v>
      </c>
      <c r="G37" s="144" t="s">
        <v>565</v>
      </c>
      <c r="H37" s="7">
        <v>55</v>
      </c>
      <c r="I37" s="7">
        <v>12.49</v>
      </c>
      <c r="J37" s="7">
        <v>686.95</v>
      </c>
    </row>
    <row r="38" spans="4:10" ht="20.25" customHeight="1" x14ac:dyDescent="0.25">
      <c r="D38" s="203">
        <v>45876</v>
      </c>
      <c r="E38" s="144" t="s">
        <v>550</v>
      </c>
      <c r="F38" s="144" t="s">
        <v>551</v>
      </c>
      <c r="G38" s="144" t="s">
        <v>565</v>
      </c>
      <c r="H38" s="7">
        <v>42</v>
      </c>
      <c r="I38" s="7">
        <v>23.95</v>
      </c>
      <c r="J38" s="7">
        <v>1005.9</v>
      </c>
    </row>
    <row r="39" spans="4:10" ht="20.25" customHeight="1" x14ac:dyDescent="0.25">
      <c r="D39" s="203">
        <v>45893</v>
      </c>
      <c r="E39" s="144" t="s">
        <v>556</v>
      </c>
      <c r="F39" s="144" t="s">
        <v>557</v>
      </c>
      <c r="G39" s="144" t="s">
        <v>564</v>
      </c>
      <c r="H39" s="7">
        <v>3</v>
      </c>
      <c r="I39" s="7">
        <v>275</v>
      </c>
      <c r="J39" s="7">
        <v>825</v>
      </c>
    </row>
    <row r="40" spans="4:10" ht="20.25" customHeight="1" x14ac:dyDescent="0.25">
      <c r="D40" s="203">
        <v>45910</v>
      </c>
      <c r="E40" s="144" t="s">
        <v>550</v>
      </c>
      <c r="F40" s="144" t="s">
        <v>554</v>
      </c>
      <c r="G40" s="144" t="s">
        <v>549</v>
      </c>
      <c r="H40" s="7">
        <v>7</v>
      </c>
      <c r="I40" s="7">
        <v>1.29</v>
      </c>
      <c r="J40" s="7">
        <v>9.0299999999999994</v>
      </c>
    </row>
    <row r="41" spans="4:10" ht="20.25" customHeight="1" x14ac:dyDescent="0.25">
      <c r="D41" s="203">
        <v>45927</v>
      </c>
      <c r="E41" s="144" t="s">
        <v>556</v>
      </c>
      <c r="F41" s="144" t="s">
        <v>557</v>
      </c>
      <c r="G41" s="144" t="s">
        <v>555</v>
      </c>
      <c r="H41" s="7">
        <v>76</v>
      </c>
      <c r="I41" s="7">
        <v>1.99</v>
      </c>
      <c r="J41" s="7">
        <v>151.24</v>
      </c>
    </row>
    <row r="42" spans="4:10" ht="20.25" customHeight="1" x14ac:dyDescent="0.25">
      <c r="D42" s="203">
        <v>45944</v>
      </c>
      <c r="E42" s="144" t="s">
        <v>556</v>
      </c>
      <c r="F42" s="144" t="s">
        <v>559</v>
      </c>
      <c r="G42" s="144" t="s">
        <v>552</v>
      </c>
      <c r="H42" s="7">
        <v>57</v>
      </c>
      <c r="I42" s="7">
        <v>19.989999999999998</v>
      </c>
      <c r="J42" s="7">
        <v>1139.43</v>
      </c>
    </row>
    <row r="43" spans="4:10" ht="20.25" customHeight="1" x14ac:dyDescent="0.25">
      <c r="D43" s="203">
        <v>45961</v>
      </c>
      <c r="E43" s="144" t="s">
        <v>550</v>
      </c>
      <c r="F43" s="144" t="s">
        <v>558</v>
      </c>
      <c r="G43" s="144" t="s">
        <v>549</v>
      </c>
      <c r="H43" s="7">
        <v>14</v>
      </c>
      <c r="I43" s="7">
        <v>1.29</v>
      </c>
      <c r="J43" s="7">
        <v>18.059999999999999</v>
      </c>
    </row>
    <row r="44" spans="4:10" ht="20.25" customHeight="1" x14ac:dyDescent="0.25">
      <c r="D44" s="203">
        <v>45978</v>
      </c>
      <c r="E44" s="144" t="s">
        <v>550</v>
      </c>
      <c r="F44" s="144" t="s">
        <v>553</v>
      </c>
      <c r="G44" s="144" t="s">
        <v>552</v>
      </c>
      <c r="H44" s="7">
        <v>11</v>
      </c>
      <c r="I44" s="7">
        <v>4.99</v>
      </c>
      <c r="J44" s="7">
        <v>54.89</v>
      </c>
    </row>
    <row r="45" spans="4:10" ht="20.25" customHeight="1" x14ac:dyDescent="0.25">
      <c r="D45" s="203">
        <v>45995</v>
      </c>
      <c r="E45" s="144" t="s">
        <v>550</v>
      </c>
      <c r="F45" s="144" t="s">
        <v>553</v>
      </c>
      <c r="G45" s="144" t="s">
        <v>552</v>
      </c>
      <c r="H45" s="7">
        <v>94</v>
      </c>
      <c r="I45" s="7">
        <v>19.989999999999998</v>
      </c>
      <c r="J45" s="7">
        <v>1879.06</v>
      </c>
    </row>
    <row r="46" spans="4:10" ht="20.25" customHeight="1" x14ac:dyDescent="0.25">
      <c r="D46" s="203">
        <v>46012</v>
      </c>
      <c r="E46" s="144" t="s">
        <v>550</v>
      </c>
      <c r="F46" s="144" t="s">
        <v>558</v>
      </c>
      <c r="G46" s="144" t="s">
        <v>552</v>
      </c>
      <c r="H46" s="7">
        <v>28</v>
      </c>
      <c r="I46" s="7">
        <v>4.99</v>
      </c>
      <c r="J46" s="7">
        <v>139.72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4</vt:i4>
      </vt:variant>
    </vt:vector>
  </HeadingPairs>
  <TitlesOfParts>
    <vt:vector size="35" baseType="lpstr">
      <vt:lpstr>Class One</vt:lpstr>
      <vt:lpstr>Database</vt:lpstr>
      <vt:lpstr>Formulas</vt:lpstr>
      <vt:lpstr>Mark Sheet</vt:lpstr>
      <vt:lpstr>if Logical</vt:lpstr>
      <vt:lpstr>Income Expense Sheet</vt:lpstr>
      <vt:lpstr>Bank Salary Sheet</vt:lpstr>
      <vt:lpstr>(if) Bank Salary Sheet</vt:lpstr>
      <vt:lpstr>Daily Wages Sheet</vt:lpstr>
      <vt:lpstr>(if)Daily Wages Sheet</vt:lpstr>
      <vt:lpstr>Financial Sheet</vt:lpstr>
      <vt:lpstr>Register</vt:lpstr>
      <vt:lpstr>Bank Balance Sheet</vt:lpstr>
      <vt:lpstr>If and Or</vt:lpstr>
      <vt:lpstr>Population</vt:lpstr>
      <vt:lpstr>Commission</vt:lpstr>
      <vt:lpstr>Vlookup</vt:lpstr>
      <vt:lpstr>Sumif</vt:lpstr>
      <vt:lpstr>Electric Bills</vt:lpstr>
      <vt:lpstr>Electric bill</vt:lpstr>
      <vt:lpstr>Sales Sheet</vt:lpstr>
      <vt:lpstr>Conditional Formation</vt:lpstr>
      <vt:lpstr>Sheet3</vt:lpstr>
      <vt:lpstr>Bonus &amp; Promotion</vt:lpstr>
      <vt:lpstr>Godown</vt:lpstr>
      <vt:lpstr>Hospital</vt:lpstr>
      <vt:lpstr>ACIT 3 to 4  01-01-25</vt:lpstr>
      <vt:lpstr>ACIT 4 to 5</vt:lpstr>
      <vt:lpstr>ACIT New 4 to 5</vt:lpstr>
      <vt:lpstr>ADIT</vt:lpstr>
      <vt:lpstr>Sheet1</vt:lpstr>
      <vt:lpstr>duedate</vt:lpstr>
      <vt:lpstr>lastdate</vt:lpstr>
      <vt:lpstr>'Class One'!Print_Area</vt:lpstr>
      <vt:lpstr>'Bank Salary Sheet'!Print_Titles</vt:lpstr>
    </vt:vector>
  </TitlesOfParts>
  <Company>THE CAMBRIDGE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TCC</dc:creator>
  <cp:lastModifiedBy>Admin</cp:lastModifiedBy>
  <cp:lastPrinted>2025-10-15T10:19:28Z</cp:lastPrinted>
  <dcterms:created xsi:type="dcterms:W3CDTF">2015-01-02T12:49:54Z</dcterms:created>
  <dcterms:modified xsi:type="dcterms:W3CDTF">2025-10-23T07:29:34Z</dcterms:modified>
</cp:coreProperties>
</file>