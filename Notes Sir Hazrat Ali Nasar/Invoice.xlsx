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EADDF967-15F5-478C-9F23-83FC5DD20701}" xr6:coauthVersionLast="47" xr6:coauthVersionMax="47" xr10:uidLastSave="{00000000-0000-0000-0000-000000000000}"/>
  <bookViews>
    <workbookView xWindow="-120" yWindow="-120" windowWidth="20640" windowHeight="11040" xr2:uid="{E420ED34-8329-4B0C-BC7F-BC11E0EAF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1" l="1"/>
  <c r="F23" i="1"/>
  <c r="F13" i="1"/>
  <c r="F17" i="1"/>
  <c r="F18" i="1"/>
  <c r="F19" i="1"/>
  <c r="F20" i="1"/>
  <c r="F21" i="1"/>
  <c r="F22" i="1"/>
  <c r="E13" i="1"/>
  <c r="E14" i="1"/>
  <c r="F14" i="1" s="1"/>
  <c r="E15" i="1"/>
  <c r="F15" i="1" s="1"/>
  <c r="E16" i="1"/>
  <c r="F16" i="1" s="1"/>
  <c r="E17" i="1"/>
  <c r="E18" i="1"/>
  <c r="E19" i="1"/>
  <c r="E20" i="1"/>
  <c r="E21" i="1"/>
  <c r="E22" i="1"/>
  <c r="F12" i="1"/>
  <c r="E12" i="1"/>
  <c r="B13" i="1"/>
  <c r="B14" i="1"/>
  <c r="B15" i="1"/>
  <c r="B16" i="1"/>
  <c r="B17" i="1"/>
  <c r="B18" i="1"/>
  <c r="B19" i="1"/>
  <c r="B20" i="1"/>
  <c r="B21" i="1"/>
  <c r="B22" i="1"/>
  <c r="B12" i="1"/>
  <c r="F9" i="1" l="1"/>
  <c r="C9" i="1"/>
  <c r="F10" i="1"/>
</calcChain>
</file>

<file path=xl/sharedStrings.xml><?xml version="1.0" encoding="utf-8"?>
<sst xmlns="http://schemas.openxmlformats.org/spreadsheetml/2006/main" count="42" uniqueCount="35">
  <si>
    <t>S.#</t>
  </si>
  <si>
    <t>Products</t>
  </si>
  <si>
    <t>Rate</t>
  </si>
  <si>
    <t>Zinger Burger</t>
  </si>
  <si>
    <t>Mayon Burger</t>
  </si>
  <si>
    <t>Cheese Burger</t>
  </si>
  <si>
    <t>Regular Burger</t>
  </si>
  <si>
    <t>Chicken Tikka (Chest)</t>
  </si>
  <si>
    <t>Chicken Tikka (Leg)</t>
  </si>
  <si>
    <t>Boti</t>
  </si>
  <si>
    <t>Malai Boti</t>
  </si>
  <si>
    <t>Chicken Kabab</t>
  </si>
  <si>
    <t>Chicken Roll</t>
  </si>
  <si>
    <t>Roll</t>
  </si>
  <si>
    <t>Paratha</t>
  </si>
  <si>
    <t>Sandwich</t>
  </si>
  <si>
    <t>Cold Drink Regular</t>
  </si>
  <si>
    <t>Cold Drink Litter</t>
  </si>
  <si>
    <t>Cold Drink 1.5 Litter</t>
  </si>
  <si>
    <t>Cold Drink Jumbo</t>
  </si>
  <si>
    <t>Water Small Bottle</t>
  </si>
  <si>
    <t>Water Large Bottle</t>
  </si>
  <si>
    <t>Mubarak Food Center</t>
  </si>
  <si>
    <t>NEAR FOOD POINT JINNAH TOWN</t>
  </si>
  <si>
    <t>INVOICE</t>
  </si>
  <si>
    <t>Date:</t>
  </si>
  <si>
    <t>Table#:</t>
  </si>
  <si>
    <t>Time:</t>
  </si>
  <si>
    <t>Invoice#:</t>
  </si>
  <si>
    <t>SN</t>
  </si>
  <si>
    <t>Quantity</t>
  </si>
  <si>
    <t>Amount</t>
  </si>
  <si>
    <t>Total Amount</t>
  </si>
  <si>
    <t>Discount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</si>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</sst>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PKR]\ #,##0.00"/>
    <numFmt numFmtId="168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lgerian"/>
      <family val="5"/>
    </font>
    <font>
      <sz val="17"/>
      <color theme="1"/>
      <name val="Calibri"/>
      <family val="2"/>
      <scheme val="minor"/>
    </font>
    <font>
      <b/>
      <sz val="14"/>
      <color theme="1"/>
      <name val="Bauhaus 93"/>
      <family val="5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0" fillId="2" borderId="0" xfId="0" applyFill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168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5</xdr:row>
      <xdr:rowOff>47625</xdr:rowOff>
    </xdr:from>
    <xdr:to>
      <xdr:col>1</xdr:col>
      <xdr:colOff>571500</xdr:colOff>
      <xdr:row>6</xdr:row>
      <xdr:rowOff>142875</xdr:rowOff>
    </xdr:to>
    <xdr:sp macro="" textlink="">
      <xdr:nvSpPr>
        <xdr:cNvPr id="2" name="Octagon 1">
          <a:extLst>
            <a:ext uri="{FF2B5EF4-FFF2-40B4-BE49-F238E27FC236}">
              <a16:creationId xmlns:a16="http://schemas.microsoft.com/office/drawing/2014/main" id="{834B2106-EEBF-D424-FE9D-2D497ED4EA7C}"/>
            </a:ext>
          </a:extLst>
        </xdr:cNvPr>
        <xdr:cNvSpPr/>
      </xdr:nvSpPr>
      <xdr:spPr>
        <a:xfrm>
          <a:off x="685800" y="1000125"/>
          <a:ext cx="495300" cy="476250"/>
        </a:xfrm>
        <a:prstGeom prst="octagon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142875</xdr:colOff>
      <xdr:row>5</xdr:row>
      <xdr:rowOff>114300</xdr:rowOff>
    </xdr:from>
    <xdr:to>
      <xdr:col>1</xdr:col>
      <xdr:colOff>499491</xdr:colOff>
      <xdr:row>6</xdr:row>
      <xdr:rowOff>76200</xdr:rowOff>
    </xdr:to>
    <xdr:sp macro="" textlink="">
      <xdr:nvSpPr>
        <xdr:cNvPr id="3" name="Octagon 2">
          <a:extLst>
            <a:ext uri="{FF2B5EF4-FFF2-40B4-BE49-F238E27FC236}">
              <a16:creationId xmlns:a16="http://schemas.microsoft.com/office/drawing/2014/main" id="{2D5681E5-A27C-4469-875F-FDEA474350E2}"/>
            </a:ext>
          </a:extLst>
        </xdr:cNvPr>
        <xdr:cNvSpPr/>
      </xdr:nvSpPr>
      <xdr:spPr>
        <a:xfrm>
          <a:off x="752475" y="1066800"/>
          <a:ext cx="356616" cy="342900"/>
        </a:xfrm>
        <a:prstGeom prst="octagon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accent6">
                  <a:lumMod val="50000"/>
                </a:schemeClr>
              </a:solidFill>
              <a:latin typeface="Algerian" panose="04020705040A02060702" pitchFamily="82" charset="0"/>
            </a:rPr>
            <a:t>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78D0E-5F8E-40DC-A04F-D45F66460975}">
  <dimension ref="B3:R25"/>
  <sheetViews>
    <sheetView showFormulas="1" tabSelected="1" topLeftCell="A4" zoomScale="115" zoomScaleNormal="115" workbookViewId="0">
      <selection activeCell="C10" sqref="C10"/>
    </sheetView>
  </sheetViews>
  <sheetFormatPr defaultRowHeight="15" x14ac:dyDescent="0.25"/>
  <cols>
    <col min="3" max="3" width="20.140625" bestFit="1" customWidth="1"/>
    <col min="6" max="6" width="22" customWidth="1"/>
    <col min="17" max="17" width="20.140625" bestFit="1" customWidth="1"/>
    <col min="18" max="18" width="5" bestFit="1" customWidth="1"/>
  </cols>
  <sheetData>
    <row r="3" spans="2:18" x14ac:dyDescent="0.25">
      <c r="P3" t="s">
        <v>0</v>
      </c>
      <c r="Q3" t="s">
        <v>1</v>
      </c>
      <c r="R3" t="s">
        <v>2</v>
      </c>
    </row>
    <row r="4" spans="2:18" x14ac:dyDescent="0.25">
      <c r="P4">
        <v>1</v>
      </c>
      <c r="Q4" t="s">
        <v>3</v>
      </c>
      <c r="R4">
        <v>320</v>
      </c>
    </row>
    <row r="5" spans="2:18" x14ac:dyDescent="0.25">
      <c r="P5">
        <v>2</v>
      </c>
      <c r="Q5" t="s">
        <v>4</v>
      </c>
      <c r="R5">
        <v>310</v>
      </c>
    </row>
    <row r="6" spans="2:18" ht="30" customHeight="1" x14ac:dyDescent="0.25">
      <c r="B6" s="7"/>
      <c r="C6" s="2" t="s">
        <v>22</v>
      </c>
      <c r="D6" s="2"/>
      <c r="E6" s="2"/>
      <c r="F6" s="2"/>
      <c r="P6">
        <v>3</v>
      </c>
      <c r="Q6" t="s">
        <v>5</v>
      </c>
      <c r="R6">
        <v>340</v>
      </c>
    </row>
    <row r="7" spans="2:18" ht="15" customHeight="1" x14ac:dyDescent="0.25">
      <c r="B7" s="7"/>
      <c r="C7" s="3" t="s">
        <v>23</v>
      </c>
      <c r="D7" s="3"/>
      <c r="E7" s="3"/>
      <c r="F7" s="3"/>
      <c r="P7">
        <v>4</v>
      </c>
      <c r="Q7" t="s">
        <v>6</v>
      </c>
      <c r="R7">
        <v>170</v>
      </c>
    </row>
    <row r="8" spans="2:18" ht="21" x14ac:dyDescent="0.35">
      <c r="B8" s="4" t="s">
        <v>24</v>
      </c>
      <c r="C8" s="5"/>
      <c r="D8" s="5"/>
      <c r="E8" s="5"/>
      <c r="F8" s="6"/>
      <c r="P8">
        <v>5</v>
      </c>
      <c r="Q8" t="s">
        <v>7</v>
      </c>
      <c r="R8">
        <v>410</v>
      </c>
    </row>
    <row r="9" spans="2:18" x14ac:dyDescent="0.25">
      <c r="B9" s="8" t="s">
        <v>25</v>
      </c>
      <c r="C9" s="9">
        <f ca="1">IF(C10&lt;&gt;"",IF(C9="",NOW(),C9),"")</f>
        <v>0</v>
      </c>
      <c r="D9" s="8"/>
      <c r="E9" s="8" t="s">
        <v>27</v>
      </c>
      <c r="F9" s="15">
        <f ca="1">IF(C10&lt;&gt;"",IF(C9="",NOW(),C9),"")</f>
        <v>0</v>
      </c>
      <c r="P9">
        <v>6</v>
      </c>
      <c r="Q9" t="s">
        <v>8</v>
      </c>
      <c r="R9">
        <v>350</v>
      </c>
    </row>
    <row r="10" spans="2:18" x14ac:dyDescent="0.25">
      <c r="B10" s="8" t="s">
        <v>26</v>
      </c>
      <c r="C10" s="8">
        <v>5</v>
      </c>
      <c r="D10" s="8"/>
      <c r="E10" s="8" t="s">
        <v>28</v>
      </c>
      <c r="F10" s="9" t="str">
        <f ca="1">LEFT(C9,3) &amp; " - " &amp; RIGHT(C10,2)</f>
        <v xml:space="preserve"> - </v>
      </c>
      <c r="P10">
        <v>7</v>
      </c>
      <c r="Q10" t="s">
        <v>9</v>
      </c>
      <c r="R10">
        <v>120</v>
      </c>
    </row>
    <row r="11" spans="2:18" x14ac:dyDescent="0.25">
      <c r="B11" s="11" t="s">
        <v>29</v>
      </c>
      <c r="C11" s="11" t="s">
        <v>1</v>
      </c>
      <c r="D11" s="11" t="s">
        <v>30</v>
      </c>
      <c r="E11" s="11" t="s">
        <v>2</v>
      </c>
      <c r="F11" s="11" t="s">
        <v>31</v>
      </c>
      <c r="P11">
        <v>8</v>
      </c>
      <c r="Q11" t="s">
        <v>10</v>
      </c>
      <c r="R11">
        <v>170</v>
      </c>
    </row>
    <row r="12" spans="2:18" x14ac:dyDescent="0.25">
      <c r="B12" s="10">
        <f>IF(ISBLANK(C12),"",MAX($B11:$B$11)+1)</f>
        <v>1</v>
      </c>
      <c r="C12" s="1" t="s">
        <v>5</v>
      </c>
      <c r="D12" s="1">
        <v>1</v>
      </c>
      <c r="E12" s="1">
        <f>IFERROR(VLOOKUP(C12,$Q$4:$R$22,2,0),"")</f>
        <v>340</v>
      </c>
      <c r="F12" s="1">
        <f>IFERROR(D12*E12,"")</f>
        <v>340</v>
      </c>
      <c r="P12">
        <v>9</v>
      </c>
      <c r="Q12" t="s">
        <v>11</v>
      </c>
      <c r="R12">
        <v>50</v>
      </c>
    </row>
    <row r="13" spans="2:18" x14ac:dyDescent="0.25">
      <c r="B13" s="10">
        <f>IF(ISBLANK(C13),"",MAX($B$11:$B12)+1)</f>
        <v>2</v>
      </c>
      <c r="C13" s="1" t="s">
        <v>7</v>
      </c>
      <c r="D13" s="1">
        <v>2</v>
      </c>
      <c r="E13" s="1">
        <f t="shared" ref="E13:E22" si="0">IFERROR(VLOOKUP(C13,$Q$4:$R$22,2,0),"")</f>
        <v>410</v>
      </c>
      <c r="F13" s="1">
        <f t="shared" ref="F13:F22" si="1">IFERROR(D13*E13,"")</f>
        <v>820</v>
      </c>
      <c r="P13">
        <v>10</v>
      </c>
      <c r="Q13" t="s">
        <v>12</v>
      </c>
      <c r="R13">
        <v>145</v>
      </c>
    </row>
    <row r="14" spans="2:18" x14ac:dyDescent="0.25">
      <c r="B14" s="10">
        <f>IF(ISBLANK(C14),"",MAX($B$11:$B13)+1)</f>
        <v>3</v>
      </c>
      <c r="C14" s="1" t="s">
        <v>5</v>
      </c>
      <c r="D14" s="1">
        <v>3</v>
      </c>
      <c r="E14" s="1">
        <f t="shared" si="0"/>
        <v>340</v>
      </c>
      <c r="F14" s="1">
        <f t="shared" si="1"/>
        <v>1020</v>
      </c>
      <c r="P14">
        <v>11</v>
      </c>
      <c r="Q14" t="s">
        <v>13</v>
      </c>
      <c r="R14">
        <v>110</v>
      </c>
    </row>
    <row r="15" spans="2:18" x14ac:dyDescent="0.25">
      <c r="B15" s="10">
        <f>IF(ISBLANK(C15),"",MAX($B$11:$B14)+1)</f>
        <v>4</v>
      </c>
      <c r="C15" s="1" t="s">
        <v>6</v>
      </c>
      <c r="D15" s="1">
        <v>3</v>
      </c>
      <c r="E15" s="1">
        <f t="shared" si="0"/>
        <v>170</v>
      </c>
      <c r="F15" s="1">
        <f t="shared" si="1"/>
        <v>510</v>
      </c>
      <c r="P15">
        <v>12</v>
      </c>
      <c r="Q15" t="s">
        <v>14</v>
      </c>
      <c r="R15">
        <v>20</v>
      </c>
    </row>
    <row r="16" spans="2:18" x14ac:dyDescent="0.25">
      <c r="B16" s="10">
        <f>IF(ISBLANK(C16),"",MAX($B$11:$B15)+1)</f>
        <v>5</v>
      </c>
      <c r="C16" s="1" t="s">
        <v>9</v>
      </c>
      <c r="D16" s="1">
        <v>2</v>
      </c>
      <c r="E16" s="1">
        <f t="shared" si="0"/>
        <v>120</v>
      </c>
      <c r="F16" s="1">
        <f t="shared" si="1"/>
        <v>240</v>
      </c>
      <c r="P16">
        <v>13</v>
      </c>
      <c r="Q16" t="s">
        <v>15</v>
      </c>
      <c r="R16">
        <v>70</v>
      </c>
    </row>
    <row r="17" spans="2:18" x14ac:dyDescent="0.25">
      <c r="B17" s="10" t="str">
        <f>IF(ISBLANK(C17),"",MAX($B$11:$B16)+1)</f>
        <v/>
      </c>
      <c r="C17" s="1"/>
      <c r="D17" s="1"/>
      <c r="E17" s="1" t="str">
        <f t="shared" si="0"/>
        <v/>
      </c>
      <c r="F17" s="1" t="str">
        <f t="shared" si="1"/>
        <v/>
      </c>
      <c r="P17">
        <v>14</v>
      </c>
      <c r="Q17" t="s">
        <v>16</v>
      </c>
      <c r="R17">
        <v>60</v>
      </c>
    </row>
    <row r="18" spans="2:18" x14ac:dyDescent="0.25">
      <c r="B18" s="10" t="str">
        <f>IF(ISBLANK(C18),"",MAX($B$11:$B17)+1)</f>
        <v/>
      </c>
      <c r="C18" s="1"/>
      <c r="D18" s="1"/>
      <c r="E18" s="1" t="str">
        <f t="shared" si="0"/>
        <v/>
      </c>
      <c r="F18" s="1" t="str">
        <f t="shared" si="1"/>
        <v/>
      </c>
      <c r="P18">
        <v>15</v>
      </c>
      <c r="Q18" t="s">
        <v>17</v>
      </c>
      <c r="R18">
        <v>120</v>
      </c>
    </row>
    <row r="19" spans="2:18" x14ac:dyDescent="0.25">
      <c r="B19" s="10" t="str">
        <f>IF(ISBLANK(C19),"",MAX($B$11:$B18)+1)</f>
        <v/>
      </c>
      <c r="C19" s="1"/>
      <c r="D19" s="1"/>
      <c r="E19" s="1" t="str">
        <f t="shared" si="0"/>
        <v/>
      </c>
      <c r="F19" s="1" t="str">
        <f t="shared" si="1"/>
        <v/>
      </c>
      <c r="P19">
        <v>16</v>
      </c>
      <c r="Q19" t="s">
        <v>18</v>
      </c>
      <c r="R19">
        <v>160</v>
      </c>
    </row>
    <row r="20" spans="2:18" x14ac:dyDescent="0.25">
      <c r="B20" s="10" t="str">
        <f>IF(ISBLANK(C20),"",MAX($B$11:$B19)+1)</f>
        <v/>
      </c>
      <c r="C20" s="1"/>
      <c r="D20" s="1"/>
      <c r="E20" s="1" t="str">
        <f t="shared" si="0"/>
        <v/>
      </c>
      <c r="F20" s="1" t="str">
        <f t="shared" si="1"/>
        <v/>
      </c>
      <c r="P20">
        <v>17</v>
      </c>
      <c r="Q20" t="s">
        <v>19</v>
      </c>
      <c r="R20">
        <v>240</v>
      </c>
    </row>
    <row r="21" spans="2:18" x14ac:dyDescent="0.25">
      <c r="B21" s="10" t="str">
        <f>IF(ISBLANK(C21),"",MAX($B$11:$B20)+1)</f>
        <v/>
      </c>
      <c r="C21" s="1"/>
      <c r="D21" s="1"/>
      <c r="E21" s="1" t="str">
        <f t="shared" si="0"/>
        <v/>
      </c>
      <c r="F21" s="1" t="str">
        <f t="shared" si="1"/>
        <v/>
      </c>
      <c r="P21">
        <v>18</v>
      </c>
      <c r="Q21" t="s">
        <v>20</v>
      </c>
      <c r="R21">
        <v>40</v>
      </c>
    </row>
    <row r="22" spans="2:18" x14ac:dyDescent="0.25">
      <c r="B22" s="10" t="str">
        <f>IF(ISBLANK(C22),"",MAX($B$11:$B21)+1)</f>
        <v/>
      </c>
      <c r="C22" s="1"/>
      <c r="D22" s="1"/>
      <c r="E22" s="1" t="str">
        <f t="shared" si="0"/>
        <v/>
      </c>
      <c r="F22" s="1" t="str">
        <f t="shared" si="1"/>
        <v/>
      </c>
      <c r="P22">
        <v>19</v>
      </c>
      <c r="Q22" t="s">
        <v>21</v>
      </c>
      <c r="R22">
        <v>100</v>
      </c>
    </row>
    <row r="23" spans="2:18" ht="15.75" x14ac:dyDescent="0.25">
      <c r="D23" s="12" t="s">
        <v>32</v>
      </c>
      <c r="E23" s="12"/>
      <c r="F23" s="14">
        <f>SUM(F12:F22)</f>
        <v>2930</v>
      </c>
    </row>
    <row r="24" spans="2:18" ht="15.75" x14ac:dyDescent="0.25">
      <c r="D24" s="12" t="s">
        <v>33</v>
      </c>
      <c r="E24" s="12"/>
      <c r="F24" s="13">
        <v>5</v>
      </c>
    </row>
    <row r="25" spans="2:18" ht="15.75" x14ac:dyDescent="0.25">
      <c r="D25" s="12" t="s">
        <v>34</v>
      </c>
      <c r="E25" s="12"/>
      <c r="F25" s="14">
        <f>F23-F23*F24%</f>
        <v>2783.5</v>
      </c>
    </row>
  </sheetData>
  <mergeCells count="6">
    <mergeCell ref="D25:E25"/>
    <mergeCell ref="C6:F6"/>
    <mergeCell ref="C7:F7"/>
    <mergeCell ref="B8:F8"/>
    <mergeCell ref="D23:E23"/>
    <mergeCell ref="D24:E24"/>
  </mergeCells>
  <dataValidations count="1">
    <dataValidation type="list" allowBlank="1" showInputMessage="1" showErrorMessage="1" sqref="C12:C22" xr:uid="{BBC9696E-3DE1-4180-A7DE-10F54D59A90C}">
      <formula1>$Q$4:$Q$22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Muneeb Machii</dc:creator>
  <cp:lastModifiedBy>Muneeb Machii</cp:lastModifiedBy>
  <dcterms:created xsi:type="dcterms:W3CDTF">2025-08-09T11:33:52Z</dcterms:created>
  <dcterms:modified xsi:type="dcterms:W3CDTF">2025-08-09T12:00:53Z</dcterms:modified>
</cp:coreProperties>
</file>