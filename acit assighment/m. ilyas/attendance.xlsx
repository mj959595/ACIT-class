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uhammad umar\"/>
    </mc:Choice>
  </mc:AlternateContent>
  <bookViews>
    <workbookView xWindow="-120" yWindow="-120" windowWidth="20730" windowHeight="110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6" i="1" l="1"/>
  <c r="D5" i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L11" i="1"/>
  <c r="AL9" i="1"/>
  <c r="AL10" i="1"/>
  <c r="AL12" i="1"/>
  <c r="AL13" i="1"/>
  <c r="AL14" i="1"/>
  <c r="AL15" i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J9" i="1"/>
  <c r="AN9" i="1" s="1"/>
  <c r="AO9" i="1" s="1"/>
  <c r="AJ10" i="1"/>
  <c r="AN10" i="1" s="1"/>
  <c r="AO10" i="1" s="1"/>
  <c r="AJ11" i="1"/>
  <c r="AN11" i="1" s="1"/>
  <c r="AO11" i="1" s="1"/>
  <c r="AJ12" i="1"/>
  <c r="AN12" i="1" s="1"/>
  <c r="AO12" i="1" s="1"/>
  <c r="AJ13" i="1"/>
  <c r="AN13" i="1" s="1"/>
  <c r="AO13" i="1" s="1"/>
  <c r="AJ14" i="1"/>
  <c r="AN14" i="1" s="1"/>
  <c r="AO14" i="1" s="1"/>
  <c r="AJ15" i="1"/>
  <c r="AN15" i="1" s="1"/>
  <c r="AO15" i="1" s="1"/>
  <c r="A7" i="1"/>
  <c r="A8" i="1" s="1"/>
  <c r="AJ8" i="1" l="1"/>
  <c r="AN8" i="1" s="1"/>
  <c r="AO8" i="1" s="1"/>
  <c r="AJ16" i="1"/>
  <c r="AN16" i="1" s="1"/>
  <c r="AO16" i="1" s="1"/>
  <c r="AK16" i="1"/>
  <c r="AM16" i="1" s="1"/>
  <c r="A9" i="1"/>
  <c r="A10" i="1" s="1"/>
  <c r="AJ7" i="1"/>
  <c r="AN7" i="1" s="1"/>
  <c r="AO7" i="1" s="1"/>
  <c r="AL7" i="1"/>
  <c r="AK8" i="1"/>
  <c r="AM8" i="1" s="1"/>
  <c r="AL8" i="1"/>
  <c r="A11" i="1" l="1"/>
  <c r="A12" i="1" s="1"/>
  <c r="A13" i="1" s="1"/>
  <c r="AK7" i="1"/>
  <c r="A14" i="1" l="1"/>
  <c r="A15" i="1"/>
  <c r="A16" i="1" s="1"/>
</calcChain>
</file>

<file path=xl/sharedStrings.xml><?xml version="1.0" encoding="utf-8"?>
<sst xmlns="http://schemas.openxmlformats.org/spreadsheetml/2006/main" count="290" uniqueCount="32">
  <si>
    <t>S#</t>
  </si>
  <si>
    <t>Registration Numbers</t>
  </si>
  <si>
    <t>RG-01</t>
  </si>
  <si>
    <t>RG-02</t>
  </si>
  <si>
    <t>RG-03</t>
  </si>
  <si>
    <t>RG-04</t>
  </si>
  <si>
    <t>RG-05</t>
  </si>
  <si>
    <t>RG-06</t>
  </si>
  <si>
    <t>RG-07</t>
  </si>
  <si>
    <t>RG-08</t>
  </si>
  <si>
    <t>RG-09</t>
  </si>
  <si>
    <t>RG-10</t>
  </si>
  <si>
    <t>Name</t>
  </si>
  <si>
    <t>Hamid</t>
  </si>
  <si>
    <t>Mohsin</t>
  </si>
  <si>
    <t>Jamil</t>
  </si>
  <si>
    <t>Akmal</t>
  </si>
  <si>
    <t>Asim</t>
  </si>
  <si>
    <t>Shahid</t>
  </si>
  <si>
    <t>Anwar</t>
  </si>
  <si>
    <t>Nader</t>
  </si>
  <si>
    <t>Hashim</t>
  </si>
  <si>
    <t>Gulzaar</t>
  </si>
  <si>
    <t>P</t>
  </si>
  <si>
    <t>A</t>
  </si>
  <si>
    <t>L</t>
  </si>
  <si>
    <t>W.D</t>
  </si>
  <si>
    <t>Remarks</t>
  </si>
  <si>
    <t>%Age</t>
  </si>
  <si>
    <t>Elegibility for Exam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</si>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</sst>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d"/>
    <numFmt numFmtId="165" formatCode="dd"/>
    <numFmt numFmtId="166" formatCode="0.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2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/>
    <xf numFmtId="14" fontId="3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0" xfId="0" applyFill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theme="4"/>
      </font>
    </dxf>
    <dxf>
      <font>
        <color theme="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17"/>
  <sheetViews>
    <sheetView tabSelected="1" topLeftCell="AF5" zoomScale="115" zoomScaleNormal="115" workbookViewId="0">
      <selection activeCell="AF16" sqref="AF16"/>
    </sheetView>
  </sheetViews>
  <sheetFormatPr defaultRowHeight="15" x14ac:dyDescent="0.25"/>
  <cols>
    <col min="1" max="1" width="3" bestFit="1" customWidth="1"/>
    <col min="2" max="2" width="20.5703125" bestFit="1" customWidth="1"/>
    <col min="3" max="3" width="7.5703125" style="4" bestFit="1" customWidth="1"/>
    <col min="4" max="4" width="5.140625" bestFit="1" customWidth="1"/>
    <col min="5" max="5" width="4.28515625" bestFit="1" customWidth="1"/>
    <col min="6" max="6" width="3.28515625" bestFit="1" customWidth="1"/>
    <col min="7" max="7" width="3.7109375" bestFit="1" customWidth="1"/>
    <col min="8" max="8" width="4.28515625" bestFit="1" customWidth="1"/>
    <col min="9" max="9" width="5" bestFit="1" customWidth="1"/>
    <col min="10" max="10" width="4.28515625" bestFit="1" customWidth="1"/>
    <col min="11" max="11" width="5.140625" bestFit="1" customWidth="1"/>
    <col min="12" max="12" width="4.28515625" bestFit="1" customWidth="1"/>
    <col min="13" max="13" width="3.28515625" bestFit="1" customWidth="1"/>
    <col min="14" max="14" width="3.7109375" bestFit="1" customWidth="1"/>
    <col min="15" max="15" width="4.28515625" bestFit="1" customWidth="1"/>
    <col min="16" max="16" width="5" bestFit="1" customWidth="1"/>
    <col min="17" max="17" width="4.28515625" bestFit="1" customWidth="1"/>
    <col min="18" max="18" width="5.140625" bestFit="1" customWidth="1"/>
    <col min="19" max="19" width="4.28515625" bestFit="1" customWidth="1"/>
    <col min="20" max="20" width="3.28515625" bestFit="1" customWidth="1"/>
    <col min="21" max="21" width="3.7109375" bestFit="1" customWidth="1"/>
    <col min="22" max="22" width="4.28515625" bestFit="1" customWidth="1"/>
    <col min="23" max="23" width="5" bestFit="1" customWidth="1"/>
    <col min="24" max="24" width="4.28515625" bestFit="1" customWidth="1"/>
    <col min="25" max="25" width="5.140625" bestFit="1" customWidth="1"/>
    <col min="26" max="26" width="4.28515625" bestFit="1" customWidth="1"/>
    <col min="27" max="27" width="3.28515625" bestFit="1" customWidth="1"/>
    <col min="28" max="28" width="3.7109375" bestFit="1" customWidth="1"/>
    <col min="29" max="29" width="4.28515625" bestFit="1" customWidth="1"/>
    <col min="30" max="30" width="5" bestFit="1" customWidth="1"/>
    <col min="31" max="31" width="4.28515625" bestFit="1" customWidth="1"/>
    <col min="32" max="32" width="4" customWidth="1"/>
    <col min="33" max="33" width="4.28515625" bestFit="1" customWidth="1"/>
    <col min="34" max="34" width="3.28515625" bestFit="1" customWidth="1"/>
    <col min="36" max="36" width="6.140625" customWidth="1"/>
    <col min="37" max="37" width="6.5703125" customWidth="1"/>
    <col min="38" max="38" width="7.5703125" customWidth="1"/>
    <col min="39" max="39" width="11.42578125" bestFit="1" customWidth="1"/>
    <col min="41" max="41" width="18.28515625" bestFit="1" customWidth="1"/>
    <col min="63" max="64" width="10.7109375" bestFit="1" customWidth="1"/>
  </cols>
  <sheetData>
    <row r="2" spans="1:65" x14ac:dyDescent="0.25">
      <c r="B2" s="1">
        <v>45901</v>
      </c>
    </row>
    <row r="5" spans="1:65" ht="15.75" x14ac:dyDescent="0.25">
      <c r="A5" s="6" t="s">
        <v>0</v>
      </c>
      <c r="B5" s="6" t="s">
        <v>1</v>
      </c>
      <c r="C5" s="7" t="s">
        <v>12</v>
      </c>
      <c r="D5" s="8">
        <f>B2</f>
        <v>45901</v>
      </c>
      <c r="E5" s="8">
        <f>D5+1</f>
        <v>45902</v>
      </c>
      <c r="F5" s="8">
        <f t="shared" ref="F5:AH5" si="0">E5+1</f>
        <v>45903</v>
      </c>
      <c r="G5" s="8">
        <f t="shared" si="0"/>
        <v>45904</v>
      </c>
      <c r="H5" s="8">
        <f t="shared" si="0"/>
        <v>45905</v>
      </c>
      <c r="I5" s="8">
        <f t="shared" si="0"/>
        <v>45906</v>
      </c>
      <c r="J5" s="8">
        <f t="shared" si="0"/>
        <v>45907</v>
      </c>
      <c r="K5" s="8">
        <f>J5+1</f>
        <v>45908</v>
      </c>
      <c r="L5" s="8">
        <f t="shared" si="0"/>
        <v>45909</v>
      </c>
      <c r="M5" s="8">
        <f t="shared" si="0"/>
        <v>45910</v>
      </c>
      <c r="N5" s="8">
        <f t="shared" si="0"/>
        <v>45911</v>
      </c>
      <c r="O5" s="8">
        <f t="shared" si="0"/>
        <v>45912</v>
      </c>
      <c r="P5" s="8">
        <f t="shared" si="0"/>
        <v>45913</v>
      </c>
      <c r="Q5" s="8">
        <f t="shared" si="0"/>
        <v>45914</v>
      </c>
      <c r="R5" s="8">
        <f t="shared" si="0"/>
        <v>45915</v>
      </c>
      <c r="S5" s="8">
        <f t="shared" si="0"/>
        <v>45916</v>
      </c>
      <c r="T5" s="8">
        <f t="shared" si="0"/>
        <v>45917</v>
      </c>
      <c r="U5" s="8">
        <f t="shared" si="0"/>
        <v>45918</v>
      </c>
      <c r="V5" s="8">
        <f t="shared" si="0"/>
        <v>45919</v>
      </c>
      <c r="W5" s="8">
        <f t="shared" si="0"/>
        <v>45920</v>
      </c>
      <c r="X5" s="8">
        <f t="shared" si="0"/>
        <v>45921</v>
      </c>
      <c r="Y5" s="8">
        <f t="shared" si="0"/>
        <v>45922</v>
      </c>
      <c r="Z5" s="8">
        <f t="shared" si="0"/>
        <v>45923</v>
      </c>
      <c r="AA5" s="8">
        <f t="shared" si="0"/>
        <v>45924</v>
      </c>
      <c r="AB5" s="8">
        <f t="shared" si="0"/>
        <v>45925</v>
      </c>
      <c r="AC5" s="8">
        <f t="shared" si="0"/>
        <v>45926</v>
      </c>
      <c r="AD5" s="8">
        <f t="shared" si="0"/>
        <v>45927</v>
      </c>
      <c r="AE5" s="8">
        <f t="shared" si="0"/>
        <v>45928</v>
      </c>
      <c r="AF5" s="8">
        <f t="shared" si="0"/>
        <v>45929</v>
      </c>
      <c r="AG5" s="8">
        <f t="shared" si="0"/>
        <v>45930</v>
      </c>
      <c r="AH5" s="8">
        <f t="shared" si="0"/>
        <v>45931</v>
      </c>
      <c r="AI5" s="9" t="s">
        <v>26</v>
      </c>
      <c r="AJ5" s="11" t="s">
        <v>23</v>
      </c>
      <c r="AK5" s="11" t="s">
        <v>24</v>
      </c>
      <c r="AL5" s="11" t="s">
        <v>25</v>
      </c>
      <c r="AM5" s="11" t="s">
        <v>27</v>
      </c>
      <c r="AN5" s="11" t="s">
        <v>28</v>
      </c>
      <c r="AO5" s="13" t="s">
        <v>29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ht="15.75" x14ac:dyDescent="0.25">
      <c r="A6" s="6"/>
      <c r="B6" s="6"/>
      <c r="C6" s="7"/>
      <c r="D6" s="10">
        <f>B2</f>
        <v>45901</v>
      </c>
      <c r="E6" s="10">
        <f>D6+1</f>
        <v>45902</v>
      </c>
      <c r="F6" s="10">
        <f>E6+1</f>
        <v>45903</v>
      </c>
      <c r="G6" s="10">
        <f t="shared" ref="G6:I6" si="1">F6+1</f>
        <v>45904</v>
      </c>
      <c r="H6" s="10">
        <f t="shared" si="1"/>
        <v>45905</v>
      </c>
      <c r="I6" s="10">
        <f t="shared" si="1"/>
        <v>45906</v>
      </c>
      <c r="J6" s="10">
        <f>I6+1</f>
        <v>45907</v>
      </c>
      <c r="K6" s="10">
        <f>J6+1</f>
        <v>45908</v>
      </c>
      <c r="L6" s="10">
        <f t="shared" ref="L6:AH6" si="2">K6+1</f>
        <v>45909</v>
      </c>
      <c r="M6" s="10">
        <f t="shared" si="2"/>
        <v>45910</v>
      </c>
      <c r="N6" s="10">
        <f t="shared" si="2"/>
        <v>45911</v>
      </c>
      <c r="O6" s="10">
        <f t="shared" si="2"/>
        <v>45912</v>
      </c>
      <c r="P6" s="10">
        <f t="shared" si="2"/>
        <v>45913</v>
      </c>
      <c r="Q6" s="10">
        <f t="shared" si="2"/>
        <v>45914</v>
      </c>
      <c r="R6" s="10">
        <f t="shared" si="2"/>
        <v>45915</v>
      </c>
      <c r="S6" s="10">
        <f t="shared" si="2"/>
        <v>45916</v>
      </c>
      <c r="T6" s="10">
        <f t="shared" si="2"/>
        <v>45917</v>
      </c>
      <c r="U6" s="10">
        <f t="shared" si="2"/>
        <v>45918</v>
      </c>
      <c r="V6" s="10">
        <f t="shared" si="2"/>
        <v>45919</v>
      </c>
      <c r="W6" s="10">
        <f t="shared" si="2"/>
        <v>45920</v>
      </c>
      <c r="X6" s="10">
        <f t="shared" si="2"/>
        <v>45921</v>
      </c>
      <c r="Y6" s="10">
        <f t="shared" si="2"/>
        <v>45922</v>
      </c>
      <c r="Z6" s="10">
        <f t="shared" si="2"/>
        <v>45923</v>
      </c>
      <c r="AA6" s="10">
        <f t="shared" si="2"/>
        <v>45924</v>
      </c>
      <c r="AB6" s="10">
        <f t="shared" si="2"/>
        <v>45925</v>
      </c>
      <c r="AC6" s="10">
        <f t="shared" si="2"/>
        <v>45926</v>
      </c>
      <c r="AD6" s="10">
        <f t="shared" si="2"/>
        <v>45927</v>
      </c>
      <c r="AE6" s="10">
        <f t="shared" si="2"/>
        <v>45928</v>
      </c>
      <c r="AF6" s="10">
        <f t="shared" si="2"/>
        <v>45929</v>
      </c>
      <c r="AG6" s="10">
        <f t="shared" si="2"/>
        <v>45930</v>
      </c>
      <c r="AH6" s="10">
        <f t="shared" si="2"/>
        <v>45931</v>
      </c>
      <c r="AI6" s="9"/>
      <c r="AJ6" s="7"/>
      <c r="AK6" s="7"/>
      <c r="AL6" s="7"/>
      <c r="AM6" s="7"/>
      <c r="AN6" s="7"/>
      <c r="AO6" s="7"/>
    </row>
    <row r="7" spans="1:65" ht="15.75" x14ac:dyDescent="0.25">
      <c r="A7" s="2">
        <f>IF(ISBLANK(B7),"",MAX(A$2:$A6)+1)</f>
        <v>1</v>
      </c>
      <c r="B7" s="2" t="s">
        <v>2</v>
      </c>
      <c r="C7" s="3" t="s">
        <v>13</v>
      </c>
      <c r="D7" s="2" t="s">
        <v>23</v>
      </c>
      <c r="E7" s="16"/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16"/>
      <c r="M7" s="2" t="s">
        <v>23</v>
      </c>
      <c r="N7" s="2" t="s">
        <v>23</v>
      </c>
      <c r="O7" s="2" t="s">
        <v>24</v>
      </c>
      <c r="P7" s="2" t="s">
        <v>23</v>
      </c>
      <c r="Q7" s="2" t="s">
        <v>23</v>
      </c>
      <c r="R7" s="2" t="s">
        <v>23</v>
      </c>
      <c r="S7" s="16"/>
      <c r="T7" s="2" t="s">
        <v>23</v>
      </c>
      <c r="U7" s="2" t="s">
        <v>23</v>
      </c>
      <c r="V7" s="2" t="s">
        <v>23</v>
      </c>
      <c r="W7" s="2" t="s">
        <v>24</v>
      </c>
      <c r="X7" s="2" t="s">
        <v>23</v>
      </c>
      <c r="Y7" s="2" t="s">
        <v>23</v>
      </c>
      <c r="Z7" s="16"/>
      <c r="AA7" s="2" t="s">
        <v>23</v>
      </c>
      <c r="AB7" s="2" t="s">
        <v>23</v>
      </c>
      <c r="AC7" s="2" t="s">
        <v>23</v>
      </c>
      <c r="AD7" s="2" t="s">
        <v>23</v>
      </c>
      <c r="AE7" s="2" t="s">
        <v>23</v>
      </c>
      <c r="AF7" s="2" t="s">
        <v>23</v>
      </c>
      <c r="AG7" s="16"/>
      <c r="AH7" s="2" t="s">
        <v>24</v>
      </c>
      <c r="AI7" s="14">
        <v>26</v>
      </c>
      <c r="AJ7" s="5">
        <f>COUNTIF(D7:AH7,"P")</f>
        <v>23</v>
      </c>
      <c r="AK7" s="5">
        <f>COUNTIF(D7:AH7,"a")</f>
        <v>3</v>
      </c>
      <c r="AL7" s="5">
        <f>COUNTIF(D7:AH7,"l")</f>
        <v>0</v>
      </c>
      <c r="AM7" s="3"/>
      <c r="AN7" s="12">
        <f>AJ7*100/AI7</f>
        <v>88.461538461538467</v>
      </c>
      <c r="AO7" s="15" t="str">
        <f>IF(AND(AN7&gt;70, AN7&lt;=100),"Eligible","Not Eligible")</f>
        <v>Eligible</v>
      </c>
    </row>
    <row r="8" spans="1:65" ht="15.75" x14ac:dyDescent="0.25">
      <c r="A8" s="2">
        <f>IF(ISBLANK(B8),"",MAX(A$2:$A7)+1)</f>
        <v>2</v>
      </c>
      <c r="B8" s="2" t="s">
        <v>3</v>
      </c>
      <c r="C8" s="3" t="s">
        <v>14</v>
      </c>
      <c r="D8" s="2" t="s">
        <v>23</v>
      </c>
      <c r="E8" s="16"/>
      <c r="F8" s="2" t="s">
        <v>23</v>
      </c>
      <c r="G8" s="2" t="s">
        <v>23</v>
      </c>
      <c r="H8" s="2" t="s">
        <v>23</v>
      </c>
      <c r="I8" s="2" t="s">
        <v>24</v>
      </c>
      <c r="J8" s="2" t="s">
        <v>23</v>
      </c>
      <c r="K8" s="2" t="s">
        <v>23</v>
      </c>
      <c r="L8" s="16"/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24</v>
      </c>
      <c r="S8" s="16"/>
      <c r="T8" s="2" t="s">
        <v>23</v>
      </c>
      <c r="U8" s="2" t="s">
        <v>23</v>
      </c>
      <c r="V8" s="2" t="s">
        <v>24</v>
      </c>
      <c r="W8" s="2" t="s">
        <v>24</v>
      </c>
      <c r="X8" s="2" t="s">
        <v>23</v>
      </c>
      <c r="Y8" s="2" t="s">
        <v>23</v>
      </c>
      <c r="Z8" s="16"/>
      <c r="AA8" s="2" t="s">
        <v>23</v>
      </c>
      <c r="AB8" s="2" t="s">
        <v>23</v>
      </c>
      <c r="AC8" s="2" t="s">
        <v>23</v>
      </c>
      <c r="AD8" s="2" t="s">
        <v>23</v>
      </c>
      <c r="AE8" s="2" t="s">
        <v>23</v>
      </c>
      <c r="AF8" s="2" t="s">
        <v>23</v>
      </c>
      <c r="AG8" s="16"/>
      <c r="AH8" s="2" t="s">
        <v>23</v>
      </c>
      <c r="AI8" s="14">
        <v>26</v>
      </c>
      <c r="AJ8" s="5">
        <f t="shared" ref="AJ8:AJ16" si="3">COUNTIF(D8:AH8,"P")</f>
        <v>22</v>
      </c>
      <c r="AK8" s="5">
        <f t="shared" ref="AK8:AK16" si="4">COUNTIF(D8:AH8,"a")</f>
        <v>4</v>
      </c>
      <c r="AL8" s="5">
        <f t="shared" ref="AL8:AL16" si="5">COUNTIF(D8:AH8,"l")</f>
        <v>0</v>
      </c>
      <c r="AM8" s="3" t="str">
        <f t="shared" ref="AM8:AM16" si="6">IF(AK8=0, "Excellent!", IF(AK8=1, "Good", IF(AK8=2, "Fair", IF(AK8=3, "Be Punctual", IF(AK8=4, "Plz Contact", "Struck off")))))</f>
        <v>Plz Contact</v>
      </c>
      <c r="AN8" s="12">
        <f t="shared" ref="AN8:AN16" si="7">AJ8*100/AI8</f>
        <v>84.615384615384613</v>
      </c>
      <c r="AO8" s="15" t="str">
        <f t="shared" ref="AO8:AO16" si="8">IF(AND(AN8&gt;70, AN8&lt;=100),"Eligible","Not Eligible")</f>
        <v>Eligible</v>
      </c>
    </row>
    <row r="9" spans="1:65" ht="15.75" x14ac:dyDescent="0.25">
      <c r="A9" s="2">
        <f>IF(ISBLANK(B9),"",MAX(A$2:$A8)+1)</f>
        <v>3</v>
      </c>
      <c r="B9" s="2" t="s">
        <v>4</v>
      </c>
      <c r="C9" s="3" t="s">
        <v>15</v>
      </c>
      <c r="D9" s="2" t="s">
        <v>23</v>
      </c>
      <c r="E9" s="16"/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24</v>
      </c>
      <c r="L9" s="16"/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16"/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  <c r="Y9" s="2" t="s">
        <v>23</v>
      </c>
      <c r="Z9" s="16"/>
      <c r="AA9" s="2" t="s">
        <v>23</v>
      </c>
      <c r="AB9" s="2" t="s">
        <v>23</v>
      </c>
      <c r="AC9" s="2" t="s">
        <v>23</v>
      </c>
      <c r="AD9" s="2" t="s">
        <v>23</v>
      </c>
      <c r="AE9" s="2" t="s">
        <v>23</v>
      </c>
      <c r="AF9" s="2" t="s">
        <v>23</v>
      </c>
      <c r="AG9" s="16"/>
      <c r="AH9" s="2" t="s">
        <v>23</v>
      </c>
      <c r="AI9" s="14">
        <v>26</v>
      </c>
      <c r="AJ9" s="5">
        <f t="shared" si="3"/>
        <v>25</v>
      </c>
      <c r="AK9" s="5">
        <f t="shared" si="4"/>
        <v>1</v>
      </c>
      <c r="AL9" s="5">
        <f t="shared" si="5"/>
        <v>0</v>
      </c>
      <c r="AM9" s="3" t="str">
        <f t="shared" si="6"/>
        <v>Good</v>
      </c>
      <c r="AN9" s="12">
        <f t="shared" si="7"/>
        <v>96.15384615384616</v>
      </c>
      <c r="AO9" s="15" t="str">
        <f t="shared" si="8"/>
        <v>Eligible</v>
      </c>
    </row>
    <row r="10" spans="1:65" ht="15.75" x14ac:dyDescent="0.25">
      <c r="A10" s="2">
        <f>IF(ISBLANK(B10),"",MAX(A$2:$A9)+1)</f>
        <v>4</v>
      </c>
      <c r="B10" s="2" t="s">
        <v>5</v>
      </c>
      <c r="C10" s="3" t="s">
        <v>16</v>
      </c>
      <c r="D10" s="2" t="s">
        <v>23</v>
      </c>
      <c r="E10" s="16"/>
      <c r="F10" s="2" t="s">
        <v>23</v>
      </c>
      <c r="G10" s="2" t="s">
        <v>23</v>
      </c>
      <c r="H10" s="2" t="s">
        <v>25</v>
      </c>
      <c r="I10" s="2" t="s">
        <v>25</v>
      </c>
      <c r="J10" s="2" t="s">
        <v>23</v>
      </c>
      <c r="K10" s="2" t="s">
        <v>23</v>
      </c>
      <c r="L10" s="16"/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16"/>
      <c r="T10" s="2" t="s">
        <v>24</v>
      </c>
      <c r="U10" s="2" t="s">
        <v>23</v>
      </c>
      <c r="V10" s="2" t="s">
        <v>23</v>
      </c>
      <c r="W10" s="2" t="s">
        <v>25</v>
      </c>
      <c r="X10" s="2" t="s">
        <v>23</v>
      </c>
      <c r="Y10" s="2" t="s">
        <v>25</v>
      </c>
      <c r="Z10" s="16"/>
      <c r="AA10" s="2" t="s">
        <v>23</v>
      </c>
      <c r="AB10" s="2" t="s">
        <v>23</v>
      </c>
      <c r="AC10" s="2" t="s">
        <v>24</v>
      </c>
      <c r="AD10" s="2" t="s">
        <v>24</v>
      </c>
      <c r="AE10" s="2" t="s">
        <v>24</v>
      </c>
      <c r="AF10" s="2" t="s">
        <v>23</v>
      </c>
      <c r="AG10" s="16"/>
      <c r="AH10" s="2" t="s">
        <v>23</v>
      </c>
      <c r="AI10" s="14">
        <v>26</v>
      </c>
      <c r="AJ10" s="5">
        <f t="shared" si="3"/>
        <v>18</v>
      </c>
      <c r="AK10" s="5">
        <f t="shared" si="4"/>
        <v>4</v>
      </c>
      <c r="AL10" s="5">
        <f t="shared" si="5"/>
        <v>4</v>
      </c>
      <c r="AM10" s="3" t="str">
        <f t="shared" si="6"/>
        <v>Plz Contact</v>
      </c>
      <c r="AN10" s="12">
        <f t="shared" si="7"/>
        <v>69.230769230769226</v>
      </c>
      <c r="AO10" s="15" t="str">
        <f t="shared" si="8"/>
        <v>Not Eligible</v>
      </c>
    </row>
    <row r="11" spans="1:65" ht="15.75" x14ac:dyDescent="0.25">
      <c r="A11" s="2">
        <f>IF(ISBLANK(B11),"",MAX(A$2:$A10)+1)</f>
        <v>5</v>
      </c>
      <c r="B11" s="2" t="s">
        <v>6</v>
      </c>
      <c r="C11" s="3" t="s">
        <v>17</v>
      </c>
      <c r="D11" s="2" t="s">
        <v>23</v>
      </c>
      <c r="E11" s="16"/>
      <c r="F11" s="2" t="s">
        <v>24</v>
      </c>
      <c r="G11" s="2" t="s">
        <v>23</v>
      </c>
      <c r="H11" s="2" t="s">
        <v>24</v>
      </c>
      <c r="I11" s="2" t="s">
        <v>23</v>
      </c>
      <c r="J11" s="2" t="s">
        <v>24</v>
      </c>
      <c r="K11" s="2" t="s">
        <v>23</v>
      </c>
      <c r="L11" s="16"/>
      <c r="M11" s="2" t="s">
        <v>23</v>
      </c>
      <c r="N11" s="2" t="s">
        <v>23</v>
      </c>
      <c r="O11" s="2" t="s">
        <v>25</v>
      </c>
      <c r="P11" s="2" t="s">
        <v>23</v>
      </c>
      <c r="Q11" s="2" t="s">
        <v>25</v>
      </c>
      <c r="R11" s="2" t="s">
        <v>24</v>
      </c>
      <c r="S11" s="16"/>
      <c r="T11" s="2" t="s">
        <v>25</v>
      </c>
      <c r="U11" s="2" t="s">
        <v>24</v>
      </c>
      <c r="V11" s="2" t="s">
        <v>23</v>
      </c>
      <c r="W11" s="2" t="s">
        <v>23</v>
      </c>
      <c r="X11" s="2" t="s">
        <v>24</v>
      </c>
      <c r="Y11" s="2" t="s">
        <v>24</v>
      </c>
      <c r="Z11" s="16"/>
      <c r="AA11" s="2" t="s">
        <v>23</v>
      </c>
      <c r="AB11" s="2" t="s">
        <v>23</v>
      </c>
      <c r="AC11" s="2" t="s">
        <v>23</v>
      </c>
      <c r="AD11" s="2" t="s">
        <v>23</v>
      </c>
      <c r="AE11" s="2" t="s">
        <v>23</v>
      </c>
      <c r="AF11" s="2" t="s">
        <v>23</v>
      </c>
      <c r="AG11" s="16"/>
      <c r="AH11" s="2" t="s">
        <v>23</v>
      </c>
      <c r="AI11" s="14">
        <v>26</v>
      </c>
      <c r="AJ11" s="5">
        <f t="shared" si="3"/>
        <v>16</v>
      </c>
      <c r="AK11" s="5">
        <f t="shared" si="4"/>
        <v>7</v>
      </c>
      <c r="AL11" s="5">
        <f>COUNTIF(D11:AH11,"l")</f>
        <v>3</v>
      </c>
      <c r="AM11" s="3" t="str">
        <f t="shared" si="6"/>
        <v>Struck off</v>
      </c>
      <c r="AN11" s="12">
        <f t="shared" si="7"/>
        <v>61.53846153846154</v>
      </c>
      <c r="AO11" s="15" t="str">
        <f t="shared" si="8"/>
        <v>Not Eligible</v>
      </c>
    </row>
    <row r="12" spans="1:65" ht="15.75" x14ac:dyDescent="0.25">
      <c r="A12" s="2">
        <f>IF(ISBLANK(B12),"",MAX(A$2:$A11)+1)</f>
        <v>6</v>
      </c>
      <c r="B12" s="2" t="s">
        <v>7</v>
      </c>
      <c r="C12" s="3" t="s">
        <v>18</v>
      </c>
      <c r="D12" s="2" t="s">
        <v>23</v>
      </c>
      <c r="E12" s="16"/>
      <c r="F12" s="2" t="s">
        <v>24</v>
      </c>
      <c r="G12" s="2" t="s">
        <v>25</v>
      </c>
      <c r="H12" s="2" t="s">
        <v>23</v>
      </c>
      <c r="I12" s="2" t="s">
        <v>25</v>
      </c>
      <c r="J12" s="2" t="s">
        <v>25</v>
      </c>
      <c r="K12" s="2" t="s">
        <v>23</v>
      </c>
      <c r="L12" s="16"/>
      <c r="M12" s="2" t="s">
        <v>24</v>
      </c>
      <c r="N12" s="2" t="s">
        <v>23</v>
      </c>
      <c r="O12" s="2" t="s">
        <v>30</v>
      </c>
      <c r="P12" s="2" t="s">
        <v>24</v>
      </c>
      <c r="Q12" s="2" t="s">
        <v>23</v>
      </c>
      <c r="R12" s="2" t="s">
        <v>23</v>
      </c>
      <c r="S12" s="16"/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  <c r="Y12" s="2" t="s">
        <v>23</v>
      </c>
      <c r="Z12" s="16"/>
      <c r="AA12" s="2" t="s">
        <v>23</v>
      </c>
      <c r="AB12" s="2" t="s">
        <v>23</v>
      </c>
      <c r="AC12" s="2" t="s">
        <v>23</v>
      </c>
      <c r="AD12" s="2" t="s">
        <v>23</v>
      </c>
      <c r="AE12" s="2" t="s">
        <v>23</v>
      </c>
      <c r="AF12" s="2" t="s">
        <v>23</v>
      </c>
      <c r="AG12" s="16"/>
      <c r="AH12" s="2" t="s">
        <v>23</v>
      </c>
      <c r="AI12" s="14">
        <v>26</v>
      </c>
      <c r="AJ12" s="5">
        <f t="shared" si="3"/>
        <v>20</v>
      </c>
      <c r="AK12" s="5">
        <f t="shared" si="4"/>
        <v>3</v>
      </c>
      <c r="AL12" s="5">
        <f t="shared" si="5"/>
        <v>3</v>
      </c>
      <c r="AM12" s="3" t="str">
        <f t="shared" si="6"/>
        <v>Be Punctual</v>
      </c>
      <c r="AN12" s="12">
        <f t="shared" si="7"/>
        <v>76.92307692307692</v>
      </c>
      <c r="AO12" s="15" t="str">
        <f t="shared" si="8"/>
        <v>Eligible</v>
      </c>
    </row>
    <row r="13" spans="1:65" ht="15.75" x14ac:dyDescent="0.25">
      <c r="A13" s="2">
        <f>IF(ISBLANK(B13),"",MAX(A$2:$A12)+1)</f>
        <v>7</v>
      </c>
      <c r="B13" s="2" t="s">
        <v>8</v>
      </c>
      <c r="C13" s="3" t="s">
        <v>19</v>
      </c>
      <c r="D13" s="2" t="s">
        <v>23</v>
      </c>
      <c r="E13" s="16"/>
      <c r="F13" s="2" t="s">
        <v>23</v>
      </c>
      <c r="G13" s="2" t="s">
        <v>24</v>
      </c>
      <c r="H13" s="2" t="s">
        <v>23</v>
      </c>
      <c r="I13" s="2" t="s">
        <v>23</v>
      </c>
      <c r="J13" s="2" t="s">
        <v>24</v>
      </c>
      <c r="K13" s="2" t="s">
        <v>24</v>
      </c>
      <c r="L13" s="16"/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16"/>
      <c r="T13" s="2" t="s">
        <v>23</v>
      </c>
      <c r="U13" s="2" t="s">
        <v>25</v>
      </c>
      <c r="V13" s="2" t="s">
        <v>24</v>
      </c>
      <c r="W13" s="2" t="s">
        <v>23</v>
      </c>
      <c r="X13" s="2" t="s">
        <v>23</v>
      </c>
      <c r="Y13" s="2" t="s">
        <v>23</v>
      </c>
      <c r="Z13" s="16"/>
      <c r="AA13" s="2" t="s">
        <v>23</v>
      </c>
      <c r="AB13" s="2" t="s">
        <v>24</v>
      </c>
      <c r="AC13" s="2" t="s">
        <v>25</v>
      </c>
      <c r="AD13" s="2" t="s">
        <v>24</v>
      </c>
      <c r="AE13" s="2" t="s">
        <v>23</v>
      </c>
      <c r="AF13" s="2" t="s">
        <v>23</v>
      </c>
      <c r="AG13" s="16"/>
      <c r="AH13" s="2" t="s">
        <v>24</v>
      </c>
      <c r="AI13" s="14">
        <v>26</v>
      </c>
      <c r="AJ13" s="5">
        <f t="shared" si="3"/>
        <v>17</v>
      </c>
      <c r="AK13" s="5">
        <f t="shared" si="4"/>
        <v>7</v>
      </c>
      <c r="AL13" s="5">
        <f t="shared" si="5"/>
        <v>2</v>
      </c>
      <c r="AM13" s="3" t="str">
        <f t="shared" si="6"/>
        <v>Struck off</v>
      </c>
      <c r="AN13" s="12">
        <f t="shared" si="7"/>
        <v>65.384615384615387</v>
      </c>
      <c r="AO13" s="15" t="str">
        <f t="shared" si="8"/>
        <v>Not Eligible</v>
      </c>
    </row>
    <row r="14" spans="1:65" ht="15.75" x14ac:dyDescent="0.25">
      <c r="A14" s="2">
        <f>IF(ISBLANK(B14),"",MAX(A$2:$A13)+1)</f>
        <v>8</v>
      </c>
      <c r="B14" s="2" t="s">
        <v>9</v>
      </c>
      <c r="C14" s="3" t="s">
        <v>20</v>
      </c>
      <c r="D14" s="2" t="s">
        <v>23</v>
      </c>
      <c r="E14" s="16"/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16"/>
      <c r="M14" s="2" t="s">
        <v>24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16"/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  <c r="Y14" s="2" t="s">
        <v>23</v>
      </c>
      <c r="Z14" s="16"/>
      <c r="AA14" s="2" t="s">
        <v>23</v>
      </c>
      <c r="AB14" s="2" t="s">
        <v>23</v>
      </c>
      <c r="AC14" s="2" t="s">
        <v>23</v>
      </c>
      <c r="AD14" s="2" t="s">
        <v>23</v>
      </c>
      <c r="AE14" s="2" t="s">
        <v>23</v>
      </c>
      <c r="AF14" s="2" t="s">
        <v>23</v>
      </c>
      <c r="AG14" s="16"/>
      <c r="AH14" s="2" t="s">
        <v>23</v>
      </c>
      <c r="AI14" s="14">
        <v>26</v>
      </c>
      <c r="AJ14" s="5">
        <f t="shared" si="3"/>
        <v>25</v>
      </c>
      <c r="AK14" s="5">
        <f t="shared" si="4"/>
        <v>1</v>
      </c>
      <c r="AL14" s="5">
        <f t="shared" si="5"/>
        <v>0</v>
      </c>
      <c r="AM14" s="3" t="str">
        <f t="shared" si="6"/>
        <v>Good</v>
      </c>
      <c r="AN14" s="12">
        <f t="shared" si="7"/>
        <v>96.15384615384616</v>
      </c>
      <c r="AO14" s="15" t="str">
        <f t="shared" si="8"/>
        <v>Eligible</v>
      </c>
    </row>
    <row r="15" spans="1:65" ht="15.75" x14ac:dyDescent="0.25">
      <c r="A15" s="2">
        <f>IF(ISBLANK(B15),"",MAX(A$2:$A14)+1)</f>
        <v>9</v>
      </c>
      <c r="B15" s="2" t="s">
        <v>10</v>
      </c>
      <c r="C15" s="3" t="s">
        <v>21</v>
      </c>
      <c r="D15" s="2" t="s">
        <v>23</v>
      </c>
      <c r="E15" s="16"/>
      <c r="F15" s="2" t="s">
        <v>23</v>
      </c>
      <c r="G15" s="2" t="s">
        <v>23</v>
      </c>
      <c r="H15" s="2" t="s">
        <v>24</v>
      </c>
      <c r="I15" s="2" t="s">
        <v>25</v>
      </c>
      <c r="J15" s="2" t="s">
        <v>23</v>
      </c>
      <c r="K15" s="2" t="s">
        <v>23</v>
      </c>
      <c r="L15" s="16"/>
      <c r="M15" s="2" t="s">
        <v>23</v>
      </c>
      <c r="N15" s="2" t="s">
        <v>23</v>
      </c>
      <c r="O15" s="2" t="s">
        <v>23</v>
      </c>
      <c r="P15" s="2" t="s">
        <v>25</v>
      </c>
      <c r="Q15" s="2" t="s">
        <v>23</v>
      </c>
      <c r="R15" s="2" t="s">
        <v>23</v>
      </c>
      <c r="S15" s="16"/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  <c r="Y15" s="2" t="s">
        <v>23</v>
      </c>
      <c r="Z15" s="16"/>
      <c r="AA15" s="2" t="s">
        <v>23</v>
      </c>
      <c r="AB15" s="2" t="s">
        <v>23</v>
      </c>
      <c r="AC15" s="2" t="s">
        <v>24</v>
      </c>
      <c r="AD15" s="2" t="s">
        <v>24</v>
      </c>
      <c r="AE15" s="2" t="s">
        <v>23</v>
      </c>
      <c r="AF15" s="2" t="s">
        <v>23</v>
      </c>
      <c r="AG15" s="16"/>
      <c r="AH15" s="2" t="s">
        <v>23</v>
      </c>
      <c r="AI15" s="14">
        <v>26</v>
      </c>
      <c r="AJ15" s="5">
        <f t="shared" si="3"/>
        <v>21</v>
      </c>
      <c r="AK15" s="5">
        <f t="shared" si="4"/>
        <v>3</v>
      </c>
      <c r="AL15" s="5">
        <f t="shared" si="5"/>
        <v>2</v>
      </c>
      <c r="AM15" s="3" t="str">
        <f t="shared" si="6"/>
        <v>Be Punctual</v>
      </c>
      <c r="AN15" s="12">
        <f t="shared" si="7"/>
        <v>80.769230769230774</v>
      </c>
      <c r="AO15" s="15" t="str">
        <f t="shared" si="8"/>
        <v>Eligible</v>
      </c>
    </row>
    <row r="16" spans="1:65" ht="15.75" x14ac:dyDescent="0.25">
      <c r="A16" s="2">
        <f>IF(ISBLANK(B16),"",MAX(A$2:$A15)+1)</f>
        <v>10</v>
      </c>
      <c r="B16" s="2" t="s">
        <v>11</v>
      </c>
      <c r="C16" s="3" t="s">
        <v>22</v>
      </c>
      <c r="D16" s="2" t="s">
        <v>23</v>
      </c>
      <c r="E16" s="16"/>
      <c r="F16" s="2" t="s">
        <v>24</v>
      </c>
      <c r="G16" s="2" t="s">
        <v>23</v>
      </c>
      <c r="H16" s="2" t="s">
        <v>23</v>
      </c>
      <c r="I16" s="2" t="s">
        <v>25</v>
      </c>
      <c r="J16" s="2" t="s">
        <v>23</v>
      </c>
      <c r="K16" s="2" t="s">
        <v>23</v>
      </c>
      <c r="L16" s="16"/>
      <c r="M16" s="2" t="s">
        <v>23</v>
      </c>
      <c r="N16" s="2" t="s">
        <v>23</v>
      </c>
      <c r="O16" s="2" t="s">
        <v>23</v>
      </c>
      <c r="P16" s="2" t="s">
        <v>25</v>
      </c>
      <c r="Q16" s="2" t="s">
        <v>25</v>
      </c>
      <c r="R16" s="2" t="s">
        <v>23</v>
      </c>
      <c r="S16" s="16"/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25</v>
      </c>
      <c r="Y16" s="2" t="s">
        <v>23</v>
      </c>
      <c r="Z16" s="16"/>
      <c r="AA16" s="2" t="s">
        <v>23</v>
      </c>
      <c r="AB16" s="2" t="s">
        <v>23</v>
      </c>
      <c r="AC16" s="2" t="s">
        <v>23</v>
      </c>
      <c r="AD16" s="2" t="s">
        <v>23</v>
      </c>
      <c r="AE16" s="2" t="s">
        <v>23</v>
      </c>
      <c r="AF16" s="2" t="s">
        <v>31</v>
      </c>
      <c r="AG16" s="16"/>
      <c r="AH16" s="2" t="s">
        <v>23</v>
      </c>
      <c r="AI16" s="14">
        <v>26</v>
      </c>
      <c r="AJ16" s="5">
        <f t="shared" si="3"/>
        <v>20</v>
      </c>
      <c r="AK16" s="5">
        <f t="shared" si="4"/>
        <v>2</v>
      </c>
      <c r="AL16" s="5">
        <f t="shared" si="5"/>
        <v>4</v>
      </c>
      <c r="AM16" s="3" t="str">
        <f t="shared" si="6"/>
        <v>Fair</v>
      </c>
      <c r="AN16" s="12">
        <f t="shared" si="7"/>
        <v>76.92307692307692</v>
      </c>
      <c r="AO16" s="15" t="str">
        <f t="shared" si="8"/>
        <v>Eligible</v>
      </c>
    </row>
    <row r="17" spans="5:5" x14ac:dyDescent="0.25">
      <c r="E17" s="17"/>
    </row>
  </sheetData>
  <phoneticPr fontId="1" type="noConversion"/>
  <conditionalFormatting sqref="D5:AH16">
    <cfRule type="expression" dxfId="4" priority="1" stopIfTrue="1">
      <formula>OR(WEEKDAY(D$4,2)&gt;6)</formula>
    </cfRule>
    <cfRule type="expression" dxfId="3" priority="2" stopIfTrue="1">
      <formula>OR(WEEKDAY(D$4,2)&gt;6)</formula>
    </cfRule>
  </conditionalFormatting>
  <conditionalFormatting sqref="D7:AH16">
    <cfRule type="containsText" dxfId="2" priority="4" operator="containsText" text="a">
      <formula>NOT(ISERROR(SEARCH("a",D7)))</formula>
    </cfRule>
    <cfRule type="containsText" dxfId="1" priority="5" operator="containsText" text="l">
      <formula>NOT(ISERROR(SEARCH("l",D7)))</formula>
    </cfRule>
    <cfRule type="containsText" dxfId="0" priority="6" operator="containsText" text="P">
      <formula>NOT(ISERROR(SEARCH("P",D7)))</formula>
    </cfRule>
  </conditionalFormatting>
  <conditionalFormatting sqref="AO18">
    <cfRule type="top10" priority="3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umarghjkh gjgdsssas</dc:creator>
  <cp:lastModifiedBy>Admin</cp:lastModifiedBy>
  <dcterms:created xsi:type="dcterms:W3CDTF">2025-10-07T15:21:56Z</dcterms:created>
  <dcterms:modified xsi:type="dcterms:W3CDTF">2025-10-28T22:54:55Z</dcterms:modified>
</cp:coreProperties>
</file>