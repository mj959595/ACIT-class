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ss\Desktop\BAQA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5" i="1" l="1"/>
  <c r="P34" i="1"/>
  <c r="Q34" i="1" s="1"/>
  <c r="P33" i="1"/>
  <c r="Q33" i="1" s="1"/>
  <c r="P32" i="1"/>
  <c r="Q32" i="1" s="1"/>
  <c r="P31" i="1"/>
  <c r="Q31" i="1" s="1"/>
  <c r="P30" i="1"/>
  <c r="Q30" i="1" s="1"/>
  <c r="P29" i="1"/>
  <c r="Q29" i="1" s="1"/>
  <c r="P28" i="1"/>
  <c r="Q28" i="1" s="1"/>
  <c r="P27" i="1"/>
  <c r="Q27" i="1" s="1"/>
  <c r="P26" i="1"/>
  <c r="Q26" i="1" s="1"/>
  <c r="P25" i="1"/>
  <c r="Q25" i="1" s="1"/>
  <c r="P24" i="1"/>
  <c r="Q24" i="1" s="1"/>
  <c r="Q23" i="1"/>
  <c r="P23" i="1"/>
  <c r="P22" i="1"/>
  <c r="Q22" i="1" s="1"/>
  <c r="P21" i="1"/>
  <c r="Q21" i="1" s="1"/>
  <c r="P20" i="1"/>
  <c r="Q20" i="1" s="1"/>
  <c r="P19" i="1"/>
  <c r="Q19" i="1" s="1"/>
  <c r="P18" i="1"/>
  <c r="Q18" i="1" s="1"/>
  <c r="P17" i="1"/>
  <c r="Q17" i="1" s="1"/>
  <c r="P16" i="1"/>
  <c r="Q16" i="1" s="1"/>
  <c r="P15" i="1"/>
  <c r="Q15" i="1" s="1"/>
  <c r="P14" i="1"/>
  <c r="Q14" i="1" s="1"/>
  <c r="P13" i="1"/>
  <c r="Q13" i="1" s="1"/>
  <c r="P12" i="1"/>
  <c r="Q12" i="1" s="1"/>
  <c r="P11" i="1"/>
  <c r="Q11" i="1" s="1"/>
</calcChain>
</file>

<file path=xl/sharedStrings.xml><?xml version="1.0" encoding="utf-8"?>
<sst xmlns="http://schemas.openxmlformats.org/spreadsheetml/2006/main" count="64" uniqueCount="42">
  <si>
    <t>Roll N</t>
  </si>
  <si>
    <t>Names</t>
  </si>
  <si>
    <t>G.K</t>
  </si>
  <si>
    <t>division</t>
  </si>
  <si>
    <t>1st</t>
  </si>
  <si>
    <t>2nd</t>
  </si>
  <si>
    <t>3rd</t>
  </si>
  <si>
    <t>RESULT OF CLASS 8TH</t>
  </si>
  <si>
    <t>Math</t>
  </si>
  <si>
    <t>Science</t>
  </si>
  <si>
    <t>English</t>
  </si>
  <si>
    <t>Urdu</t>
  </si>
  <si>
    <t>SST</t>
  </si>
  <si>
    <t>Islamiat</t>
  </si>
  <si>
    <t>Total Marks</t>
  </si>
  <si>
    <t>Obtained Marks</t>
  </si>
  <si>
    <t>Student 1</t>
  </si>
  <si>
    <t>Student 2</t>
  </si>
  <si>
    <t>Student 3</t>
  </si>
  <si>
    <t>Student 7</t>
  </si>
  <si>
    <t>Student 8</t>
  </si>
  <si>
    <t>Student 9</t>
  </si>
  <si>
    <t>Student 13</t>
  </si>
  <si>
    <t>Student 4</t>
  </si>
  <si>
    <t>Student 5</t>
  </si>
  <si>
    <t>Student 6</t>
  </si>
  <si>
    <t>Student 10</t>
  </si>
  <si>
    <t>Student 11</t>
  </si>
  <si>
    <t>Student 12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</si>
  <si>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</si>
  <si>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</si>
  <si>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</si>
  <si>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</si>
  <si>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</si>
  <si>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</si>
  <si>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</si>
  <si>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</si>
  <si>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</si>
  <si>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</si>
  <si>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</si>
  <si>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</si>
  <si>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Pass and 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</si>
</sst>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36"/>
      <color theme="4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5:R35"/>
  <sheetViews>
    <sheetView tabSelected="1" topLeftCell="B7" workbookViewId="0">
      <selection activeCell="U17" sqref="U17"/>
    </sheetView>
  </sheetViews>
  <sheetFormatPr defaultRowHeight="15" x14ac:dyDescent="0.25"/>
  <cols>
    <col min="6" max="6" width="8.140625" customWidth="1"/>
    <col min="7" max="7" width="11.42578125" customWidth="1"/>
    <col min="8" max="8" width="7.42578125" customWidth="1"/>
    <col min="9" max="9" width="9.85546875" bestFit="1" customWidth="1"/>
    <col min="10" max="10" width="9.28515625" customWidth="1"/>
    <col min="11" max="11" width="6.85546875" customWidth="1"/>
    <col min="12" max="12" width="5.140625" customWidth="1"/>
    <col min="13" max="13" width="10.28515625" bestFit="1" customWidth="1"/>
    <col min="14" max="14" width="5.140625" customWidth="1"/>
    <col min="15" max="15" width="14.85546875" customWidth="1"/>
    <col min="16" max="16" width="18.7109375" bestFit="1" customWidth="1"/>
    <col min="17" max="17" width="14.7109375" customWidth="1"/>
    <col min="18" max="18" width="10.140625" bestFit="1" customWidth="1"/>
  </cols>
  <sheetData>
    <row r="5" spans="6:18" x14ac:dyDescent="0.25">
      <c r="F5" s="9" t="s">
        <v>7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spans="6:18" x14ac:dyDescent="0.25"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6:18" x14ac:dyDescent="0.25"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6:18" x14ac:dyDescent="0.25"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6:18" x14ac:dyDescent="0.25">
      <c r="F9" s="7" t="s">
        <v>0</v>
      </c>
      <c r="G9" s="7" t="s">
        <v>1</v>
      </c>
      <c r="H9" s="7" t="s">
        <v>8</v>
      </c>
      <c r="I9" s="7" t="s">
        <v>9</v>
      </c>
      <c r="J9" s="7" t="s">
        <v>10</v>
      </c>
      <c r="K9" s="7" t="s">
        <v>11</v>
      </c>
      <c r="L9" s="7" t="s">
        <v>12</v>
      </c>
      <c r="M9" s="7" t="s">
        <v>13</v>
      </c>
      <c r="N9" s="7" t="s">
        <v>2</v>
      </c>
      <c r="O9" s="7" t="s">
        <v>14</v>
      </c>
      <c r="P9" s="7" t="s">
        <v>15</v>
      </c>
      <c r="Q9" s="7" t="s">
        <v>41</v>
      </c>
      <c r="R9" s="7" t="s">
        <v>3</v>
      </c>
    </row>
    <row r="10" spans="6:18" x14ac:dyDescent="0.25"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6:18" ht="15.75" x14ac:dyDescent="0.25">
      <c r="F11" s="1">
        <v>1</v>
      </c>
      <c r="G11" s="2" t="s">
        <v>16</v>
      </c>
      <c r="H11" s="3">
        <v>45</v>
      </c>
      <c r="I11" s="3">
        <v>54</v>
      </c>
      <c r="J11" s="3">
        <v>99</v>
      </c>
      <c r="K11" s="3">
        <v>67</v>
      </c>
      <c r="L11" s="3">
        <v>56</v>
      </c>
      <c r="M11" s="3">
        <v>56</v>
      </c>
      <c r="N11" s="3">
        <v>23</v>
      </c>
      <c r="O11" s="4">
        <v>700</v>
      </c>
      <c r="P11" s="5">
        <f>SUM(H11:N11)</f>
        <v>400</v>
      </c>
      <c r="Q11" s="11" t="str">
        <f>IF(P11&lt;250,"fail","pass")</f>
        <v>pass</v>
      </c>
      <c r="R11" s="6" t="s">
        <v>4</v>
      </c>
    </row>
    <row r="12" spans="6:18" ht="15.75" x14ac:dyDescent="0.25">
      <c r="F12" s="1">
        <v>2</v>
      </c>
      <c r="G12" s="2" t="s">
        <v>17</v>
      </c>
      <c r="H12" s="3">
        <v>76</v>
      </c>
      <c r="I12" s="3">
        <v>23</v>
      </c>
      <c r="J12" s="3">
        <v>77</v>
      </c>
      <c r="K12" s="3">
        <v>34</v>
      </c>
      <c r="L12" s="3">
        <v>34</v>
      </c>
      <c r="M12" s="3">
        <v>87</v>
      </c>
      <c r="N12" s="3">
        <v>45</v>
      </c>
      <c r="O12" s="4">
        <v>700</v>
      </c>
      <c r="P12" s="5">
        <f>SUM(H12,I12,J12,K12,L12,M12,N12)</f>
        <v>376</v>
      </c>
      <c r="Q12" s="11" t="str">
        <f>IF(P12&lt;350,"fail","pass")</f>
        <v>pass</v>
      </c>
      <c r="R12" s="6" t="s">
        <v>4</v>
      </c>
    </row>
    <row r="13" spans="6:18" ht="15.75" x14ac:dyDescent="0.25">
      <c r="F13" s="1">
        <v>3</v>
      </c>
      <c r="G13" s="2" t="s">
        <v>18</v>
      </c>
      <c r="H13" s="3">
        <v>87</v>
      </c>
      <c r="I13" s="3">
        <v>56</v>
      </c>
      <c r="J13" s="3">
        <v>55</v>
      </c>
      <c r="K13" s="3">
        <v>45</v>
      </c>
      <c r="L13" s="3">
        <v>87</v>
      </c>
      <c r="M13" s="3">
        <v>78</v>
      </c>
      <c r="N13" s="3">
        <v>32</v>
      </c>
      <c r="O13" s="4">
        <v>700</v>
      </c>
      <c r="P13" s="5">
        <f t="shared" ref="P13:P34" si="0">SUM(H13,I13,J13,K13,L13,M13,N13)</f>
        <v>440</v>
      </c>
      <c r="Q13" s="11" t="str">
        <f t="shared" ref="Q13:Q35" si="1">IF(P13&lt;350,"fail","pass")</f>
        <v>pass</v>
      </c>
      <c r="R13" s="6" t="s">
        <v>4</v>
      </c>
    </row>
    <row r="14" spans="6:18" ht="15.75" x14ac:dyDescent="0.25">
      <c r="F14" s="1">
        <v>4</v>
      </c>
      <c r="G14" s="2" t="s">
        <v>23</v>
      </c>
      <c r="H14" s="3">
        <v>56</v>
      </c>
      <c r="I14" s="3">
        <v>34</v>
      </c>
      <c r="J14" s="3">
        <v>45</v>
      </c>
      <c r="K14" s="3">
        <v>65</v>
      </c>
      <c r="L14" s="3">
        <v>78</v>
      </c>
      <c r="M14" s="3">
        <v>56</v>
      </c>
      <c r="N14" s="3">
        <v>45</v>
      </c>
      <c r="O14" s="4">
        <v>700</v>
      </c>
      <c r="P14" s="5">
        <f t="shared" si="0"/>
        <v>379</v>
      </c>
      <c r="Q14" s="11" t="str">
        <f t="shared" si="1"/>
        <v>pass</v>
      </c>
      <c r="R14" s="6" t="s">
        <v>5</v>
      </c>
    </row>
    <row r="15" spans="6:18" ht="15.75" x14ac:dyDescent="0.25">
      <c r="F15" s="1">
        <v>5</v>
      </c>
      <c r="G15" s="2" t="s">
        <v>24</v>
      </c>
      <c r="H15" s="3">
        <v>45</v>
      </c>
      <c r="I15" s="3">
        <v>98</v>
      </c>
      <c r="J15" s="3">
        <v>67</v>
      </c>
      <c r="K15" s="3">
        <v>76</v>
      </c>
      <c r="L15" s="3">
        <v>90</v>
      </c>
      <c r="M15" s="3">
        <v>78</v>
      </c>
      <c r="N15" s="3">
        <v>34</v>
      </c>
      <c r="O15" s="4">
        <v>700</v>
      </c>
      <c r="P15" s="5">
        <f t="shared" si="0"/>
        <v>488</v>
      </c>
      <c r="Q15" s="11" t="str">
        <f t="shared" si="1"/>
        <v>pass</v>
      </c>
      <c r="R15" s="6" t="s">
        <v>5</v>
      </c>
    </row>
    <row r="16" spans="6:18" ht="15.75" x14ac:dyDescent="0.25">
      <c r="F16" s="1">
        <v>6</v>
      </c>
      <c r="G16" s="2" t="s">
        <v>25</v>
      </c>
      <c r="H16" s="3">
        <v>53</v>
      </c>
      <c r="I16" s="3">
        <v>87</v>
      </c>
      <c r="J16" s="3">
        <v>54</v>
      </c>
      <c r="K16" s="3">
        <v>89</v>
      </c>
      <c r="L16" s="3">
        <v>23</v>
      </c>
      <c r="M16" s="3">
        <v>56</v>
      </c>
      <c r="N16" s="3">
        <v>31</v>
      </c>
      <c r="O16" s="4">
        <v>700</v>
      </c>
      <c r="P16" s="5">
        <f t="shared" si="0"/>
        <v>393</v>
      </c>
      <c r="Q16" s="11" t="str">
        <f t="shared" si="1"/>
        <v>pass</v>
      </c>
      <c r="R16" s="6" t="s">
        <v>6</v>
      </c>
    </row>
    <row r="17" spans="6:18" ht="15.75" x14ac:dyDescent="0.25">
      <c r="F17" s="1">
        <v>7</v>
      </c>
      <c r="G17" s="2" t="s">
        <v>19</v>
      </c>
      <c r="H17" s="3">
        <v>29</v>
      </c>
      <c r="I17" s="3">
        <v>65</v>
      </c>
      <c r="J17" s="3">
        <v>34</v>
      </c>
      <c r="K17" s="3">
        <v>76</v>
      </c>
      <c r="L17" s="3">
        <v>45</v>
      </c>
      <c r="M17" s="3">
        <v>43</v>
      </c>
      <c r="N17" s="3">
        <v>36</v>
      </c>
      <c r="O17" s="4">
        <v>700</v>
      </c>
      <c r="P17" s="5">
        <f t="shared" si="0"/>
        <v>328</v>
      </c>
      <c r="Q17" s="11" t="str">
        <f t="shared" si="1"/>
        <v>fail</v>
      </c>
      <c r="R17" s="6" t="s">
        <v>4</v>
      </c>
    </row>
    <row r="18" spans="6:18" ht="15.75" x14ac:dyDescent="0.25">
      <c r="F18" s="1">
        <v>8</v>
      </c>
      <c r="G18" s="2" t="s">
        <v>20</v>
      </c>
      <c r="H18" s="3">
        <v>65</v>
      </c>
      <c r="I18" s="3">
        <v>34</v>
      </c>
      <c r="J18" s="3">
        <v>76</v>
      </c>
      <c r="K18" s="3">
        <v>56</v>
      </c>
      <c r="L18" s="3">
        <v>67</v>
      </c>
      <c r="M18" s="3">
        <v>23</v>
      </c>
      <c r="N18" s="3">
        <v>42</v>
      </c>
      <c r="O18" s="4">
        <v>700</v>
      </c>
      <c r="P18" s="5">
        <f t="shared" si="0"/>
        <v>363</v>
      </c>
      <c r="Q18" s="11" t="str">
        <f t="shared" si="1"/>
        <v>pass</v>
      </c>
      <c r="R18" s="6" t="s">
        <v>4</v>
      </c>
    </row>
    <row r="19" spans="6:18" ht="15.75" x14ac:dyDescent="0.25">
      <c r="F19" s="1">
        <v>9</v>
      </c>
      <c r="G19" s="2" t="s">
        <v>21</v>
      </c>
      <c r="H19" s="3">
        <v>87</v>
      </c>
      <c r="I19" s="3">
        <v>66</v>
      </c>
      <c r="J19" s="3">
        <v>89</v>
      </c>
      <c r="K19" s="3">
        <v>34</v>
      </c>
      <c r="L19" s="3">
        <v>89</v>
      </c>
      <c r="M19" s="3">
        <v>45</v>
      </c>
      <c r="N19" s="3">
        <v>54</v>
      </c>
      <c r="O19" s="4">
        <v>700</v>
      </c>
      <c r="P19" s="5">
        <f t="shared" si="0"/>
        <v>464</v>
      </c>
      <c r="Q19" s="11" t="str">
        <f t="shared" si="1"/>
        <v>pass</v>
      </c>
      <c r="R19" s="6" t="s">
        <v>4</v>
      </c>
    </row>
    <row r="20" spans="6:18" ht="15.75" x14ac:dyDescent="0.25">
      <c r="F20" s="1">
        <v>10</v>
      </c>
      <c r="G20" s="2" t="s">
        <v>26</v>
      </c>
      <c r="H20" s="3">
        <v>23</v>
      </c>
      <c r="I20" s="3">
        <v>66</v>
      </c>
      <c r="J20" s="3">
        <v>567</v>
      </c>
      <c r="K20" s="3">
        <v>45</v>
      </c>
      <c r="L20" s="3">
        <v>9</v>
      </c>
      <c r="M20" s="3">
        <v>87</v>
      </c>
      <c r="N20" s="3">
        <v>23</v>
      </c>
      <c r="O20" s="4">
        <v>700</v>
      </c>
      <c r="P20" s="5">
        <f t="shared" si="0"/>
        <v>820</v>
      </c>
      <c r="Q20" s="11" t="str">
        <f t="shared" si="1"/>
        <v>pass</v>
      </c>
      <c r="R20" s="6" t="s">
        <v>5</v>
      </c>
    </row>
    <row r="21" spans="6:18" ht="15.75" x14ac:dyDescent="0.25">
      <c r="F21" s="1">
        <v>11</v>
      </c>
      <c r="G21" s="2" t="s">
        <v>27</v>
      </c>
      <c r="H21" s="3">
        <v>43</v>
      </c>
      <c r="I21" s="3">
        <v>55</v>
      </c>
      <c r="J21" s="3">
        <v>45</v>
      </c>
      <c r="K21" s="3">
        <v>56</v>
      </c>
      <c r="L21" s="3">
        <v>87</v>
      </c>
      <c r="M21" s="3">
        <v>90</v>
      </c>
      <c r="N21" s="3">
        <v>38</v>
      </c>
      <c r="O21" s="4">
        <v>700</v>
      </c>
      <c r="P21" s="5">
        <f t="shared" si="0"/>
        <v>414</v>
      </c>
      <c r="Q21" s="11" t="str">
        <f t="shared" si="1"/>
        <v>pass</v>
      </c>
      <c r="R21" s="6" t="s">
        <v>5</v>
      </c>
    </row>
    <row r="22" spans="6:18" ht="15.75" x14ac:dyDescent="0.25">
      <c r="F22" s="1">
        <v>12</v>
      </c>
      <c r="G22" s="2" t="s">
        <v>28</v>
      </c>
      <c r="H22" s="3">
        <v>45</v>
      </c>
      <c r="I22" s="3">
        <v>55</v>
      </c>
      <c r="J22" s="3">
        <v>24</v>
      </c>
      <c r="K22" s="3">
        <v>89</v>
      </c>
      <c r="L22" s="3">
        <v>65</v>
      </c>
      <c r="M22" s="3">
        <v>78</v>
      </c>
      <c r="N22" s="3">
        <v>54</v>
      </c>
      <c r="O22" s="4">
        <v>700</v>
      </c>
      <c r="P22" s="5">
        <f t="shared" si="0"/>
        <v>410</v>
      </c>
      <c r="Q22" s="11" t="str">
        <f t="shared" si="1"/>
        <v>pass</v>
      </c>
      <c r="R22" s="6" t="s">
        <v>6</v>
      </c>
    </row>
    <row r="23" spans="6:18" ht="15.75" x14ac:dyDescent="0.25">
      <c r="F23" s="1">
        <v>13</v>
      </c>
      <c r="G23" s="2" t="s">
        <v>22</v>
      </c>
      <c r="H23" s="3">
        <v>98</v>
      </c>
      <c r="I23" s="3">
        <v>88</v>
      </c>
      <c r="J23" s="3">
        <v>23</v>
      </c>
      <c r="K23" s="3">
        <v>67</v>
      </c>
      <c r="L23" s="3">
        <v>43</v>
      </c>
      <c r="M23" s="3">
        <v>65</v>
      </c>
      <c r="N23" s="3">
        <v>23</v>
      </c>
      <c r="O23" s="4">
        <v>700</v>
      </c>
      <c r="P23" s="5">
        <f t="shared" si="0"/>
        <v>407</v>
      </c>
      <c r="Q23" s="11" t="str">
        <f t="shared" si="1"/>
        <v>pass</v>
      </c>
      <c r="R23" s="6" t="s">
        <v>4</v>
      </c>
    </row>
    <row r="24" spans="6:18" ht="15.75" x14ac:dyDescent="0.25">
      <c r="F24" s="1">
        <v>14</v>
      </c>
      <c r="G24" s="2" t="s">
        <v>29</v>
      </c>
      <c r="H24" s="3">
        <v>23</v>
      </c>
      <c r="I24" s="3">
        <v>44</v>
      </c>
      <c r="J24" s="3">
        <v>45</v>
      </c>
      <c r="K24" s="3">
        <v>54</v>
      </c>
      <c r="L24" s="3">
        <v>21</v>
      </c>
      <c r="M24" s="3">
        <v>54</v>
      </c>
      <c r="N24" s="3">
        <v>55</v>
      </c>
      <c r="O24" s="4">
        <v>700</v>
      </c>
      <c r="P24" s="5">
        <f t="shared" si="0"/>
        <v>296</v>
      </c>
      <c r="Q24" s="11" t="str">
        <f t="shared" si="1"/>
        <v>fail</v>
      </c>
      <c r="R24" s="6" t="s">
        <v>4</v>
      </c>
    </row>
    <row r="25" spans="6:18" ht="15.75" x14ac:dyDescent="0.25">
      <c r="F25" s="1">
        <v>15</v>
      </c>
      <c r="G25" s="2" t="s">
        <v>30</v>
      </c>
      <c r="H25" s="3">
        <v>76</v>
      </c>
      <c r="I25" s="3">
        <v>23</v>
      </c>
      <c r="J25" s="3">
        <v>67</v>
      </c>
      <c r="K25" s="3">
        <v>76</v>
      </c>
      <c r="L25" s="3">
        <v>12</v>
      </c>
      <c r="M25" s="3">
        <v>99</v>
      </c>
      <c r="N25" s="3">
        <v>24</v>
      </c>
      <c r="O25" s="4">
        <v>700</v>
      </c>
      <c r="P25" s="5">
        <f t="shared" si="0"/>
        <v>377</v>
      </c>
      <c r="Q25" s="11" t="str">
        <f t="shared" si="1"/>
        <v>pass</v>
      </c>
      <c r="R25" s="6" t="s">
        <v>4</v>
      </c>
    </row>
    <row r="26" spans="6:18" ht="15.75" x14ac:dyDescent="0.25">
      <c r="F26" s="1">
        <v>16</v>
      </c>
      <c r="G26" s="2" t="s">
        <v>31</v>
      </c>
      <c r="H26" s="3">
        <v>34</v>
      </c>
      <c r="I26" s="3">
        <v>53</v>
      </c>
      <c r="J26" s="3">
        <v>98</v>
      </c>
      <c r="K26" s="3">
        <v>98</v>
      </c>
      <c r="L26" s="3">
        <v>34</v>
      </c>
      <c r="M26" s="3">
        <v>88</v>
      </c>
      <c r="N26" s="3">
        <v>28</v>
      </c>
      <c r="O26" s="4">
        <v>700</v>
      </c>
      <c r="P26" s="5">
        <f t="shared" si="0"/>
        <v>433</v>
      </c>
      <c r="Q26" s="11" t="str">
        <f t="shared" si="1"/>
        <v>pass</v>
      </c>
      <c r="R26" s="6" t="s">
        <v>5</v>
      </c>
    </row>
    <row r="27" spans="6:18" ht="15.75" x14ac:dyDescent="0.25">
      <c r="F27" s="1">
        <v>17</v>
      </c>
      <c r="G27" s="2" t="s">
        <v>32</v>
      </c>
      <c r="H27" s="3">
        <v>25</v>
      </c>
      <c r="I27" s="3">
        <v>33</v>
      </c>
      <c r="J27" s="3">
        <v>8</v>
      </c>
      <c r="K27" s="3">
        <v>99</v>
      </c>
      <c r="L27" s="3">
        <v>56</v>
      </c>
      <c r="M27" s="3">
        <v>77</v>
      </c>
      <c r="N27" s="3">
        <v>29</v>
      </c>
      <c r="O27" s="4">
        <v>700</v>
      </c>
      <c r="P27" s="5">
        <f t="shared" si="0"/>
        <v>327</v>
      </c>
      <c r="Q27" s="11" t="str">
        <f t="shared" si="1"/>
        <v>fail</v>
      </c>
      <c r="R27" s="6" t="s">
        <v>5</v>
      </c>
    </row>
    <row r="28" spans="6:18" ht="15.75" x14ac:dyDescent="0.25">
      <c r="F28" s="1">
        <v>18</v>
      </c>
      <c r="G28" s="2" t="s">
        <v>33</v>
      </c>
      <c r="H28" s="3">
        <v>65</v>
      </c>
      <c r="I28" s="3">
        <v>22</v>
      </c>
      <c r="J28" s="3">
        <v>67</v>
      </c>
      <c r="K28" s="3">
        <v>78</v>
      </c>
      <c r="L28" s="3">
        <v>78</v>
      </c>
      <c r="M28" s="3">
        <v>66</v>
      </c>
      <c r="N28" s="3">
        <v>47</v>
      </c>
      <c r="O28" s="4">
        <v>700</v>
      </c>
      <c r="P28" s="5">
        <f t="shared" si="0"/>
        <v>423</v>
      </c>
      <c r="Q28" s="11" t="str">
        <f t="shared" si="1"/>
        <v>pass</v>
      </c>
      <c r="R28" s="6" t="s">
        <v>6</v>
      </c>
    </row>
    <row r="29" spans="6:18" ht="15.75" x14ac:dyDescent="0.25">
      <c r="F29" s="1">
        <v>19</v>
      </c>
      <c r="G29" s="2" t="s">
        <v>34</v>
      </c>
      <c r="H29" s="3">
        <v>34</v>
      </c>
      <c r="I29" s="3">
        <v>64</v>
      </c>
      <c r="J29" s="3">
        <v>12</v>
      </c>
      <c r="K29" s="3">
        <v>56</v>
      </c>
      <c r="L29" s="3">
        <v>90</v>
      </c>
      <c r="M29" s="3">
        <v>54</v>
      </c>
      <c r="N29" s="3">
        <v>29</v>
      </c>
      <c r="O29" s="4">
        <v>700</v>
      </c>
      <c r="P29" s="5">
        <f t="shared" si="0"/>
        <v>339</v>
      </c>
      <c r="Q29" s="11" t="str">
        <f t="shared" si="1"/>
        <v>fail</v>
      </c>
      <c r="R29" s="6" t="s">
        <v>4</v>
      </c>
    </row>
    <row r="30" spans="6:18" ht="15.75" x14ac:dyDescent="0.25">
      <c r="F30" s="1">
        <v>20</v>
      </c>
      <c r="G30" s="2" t="s">
        <v>35</v>
      </c>
      <c r="H30" s="3">
        <v>76</v>
      </c>
      <c r="I30" s="3">
        <v>34</v>
      </c>
      <c r="J30" s="3">
        <v>34</v>
      </c>
      <c r="K30" s="3">
        <v>34</v>
      </c>
      <c r="L30" s="3">
        <v>67</v>
      </c>
      <c r="M30" s="3">
        <v>33</v>
      </c>
      <c r="N30" s="3">
        <v>48</v>
      </c>
      <c r="O30" s="4">
        <v>700</v>
      </c>
      <c r="P30" s="5">
        <f t="shared" si="0"/>
        <v>326</v>
      </c>
      <c r="Q30" s="11" t="str">
        <f t="shared" si="1"/>
        <v>fail</v>
      </c>
      <c r="R30" s="6" t="s">
        <v>4</v>
      </c>
    </row>
    <row r="31" spans="6:18" ht="15.75" x14ac:dyDescent="0.25">
      <c r="F31" s="1">
        <v>21</v>
      </c>
      <c r="G31" s="2" t="s">
        <v>36</v>
      </c>
      <c r="H31" s="3">
        <v>89</v>
      </c>
      <c r="I31" s="3">
        <v>65</v>
      </c>
      <c r="J31" s="3">
        <v>56</v>
      </c>
      <c r="K31" s="3">
        <v>12</v>
      </c>
      <c r="L31" s="3">
        <v>345</v>
      </c>
      <c r="M31" s="3">
        <v>0</v>
      </c>
      <c r="N31" s="3">
        <v>26</v>
      </c>
      <c r="O31" s="4">
        <v>700</v>
      </c>
      <c r="P31" s="5">
        <f t="shared" si="0"/>
        <v>593</v>
      </c>
      <c r="Q31" s="11" t="str">
        <f t="shared" si="1"/>
        <v>pass</v>
      </c>
      <c r="R31" s="6" t="s">
        <v>4</v>
      </c>
    </row>
    <row r="32" spans="6:18" ht="15.75" x14ac:dyDescent="0.25">
      <c r="F32" s="1">
        <v>22</v>
      </c>
      <c r="G32" s="2" t="s">
        <v>37</v>
      </c>
      <c r="H32" s="3">
        <v>70</v>
      </c>
      <c r="I32" s="3">
        <v>65</v>
      </c>
      <c r="J32" s="3">
        <v>78</v>
      </c>
      <c r="K32" s="3">
        <v>32</v>
      </c>
      <c r="L32" s="3">
        <v>35</v>
      </c>
      <c r="M32" s="3">
        <v>89</v>
      </c>
      <c r="N32" s="3">
        <v>38</v>
      </c>
      <c r="O32" s="4">
        <v>700</v>
      </c>
      <c r="P32" s="5">
        <f t="shared" si="0"/>
        <v>407</v>
      </c>
      <c r="Q32" s="11" t="str">
        <f t="shared" si="1"/>
        <v>pass</v>
      </c>
      <c r="R32" s="6" t="s">
        <v>5</v>
      </c>
    </row>
    <row r="33" spans="6:18" ht="15.75" x14ac:dyDescent="0.25">
      <c r="F33" s="1">
        <v>23</v>
      </c>
      <c r="G33" s="2" t="s">
        <v>38</v>
      </c>
      <c r="H33" s="3">
        <v>67</v>
      </c>
      <c r="I33" s="3">
        <v>54</v>
      </c>
      <c r="J33" s="3">
        <v>90</v>
      </c>
      <c r="K33" s="3">
        <v>54</v>
      </c>
      <c r="L33" s="3">
        <v>68</v>
      </c>
      <c r="M33" s="3">
        <v>67</v>
      </c>
      <c r="N33" s="3">
        <v>23</v>
      </c>
      <c r="O33" s="4">
        <v>700</v>
      </c>
      <c r="P33" s="5">
        <f t="shared" si="0"/>
        <v>423</v>
      </c>
      <c r="Q33" s="11" t="str">
        <f t="shared" si="1"/>
        <v>pass</v>
      </c>
      <c r="R33" s="6" t="s">
        <v>5</v>
      </c>
    </row>
    <row r="34" spans="6:18" ht="15.75" x14ac:dyDescent="0.25">
      <c r="F34" s="1">
        <v>24</v>
      </c>
      <c r="G34" s="2" t="s">
        <v>39</v>
      </c>
      <c r="H34" s="3">
        <v>76</v>
      </c>
      <c r="I34" s="3">
        <v>54</v>
      </c>
      <c r="J34" s="3">
        <v>65</v>
      </c>
      <c r="K34" s="3">
        <v>76</v>
      </c>
      <c r="L34" s="3">
        <v>73</v>
      </c>
      <c r="M34" s="3">
        <v>45</v>
      </c>
      <c r="N34" s="3">
        <v>30</v>
      </c>
      <c r="O34" s="4">
        <v>700</v>
      </c>
      <c r="P34" s="5">
        <f t="shared" si="0"/>
        <v>419</v>
      </c>
      <c r="Q34" s="11" t="str">
        <f t="shared" si="1"/>
        <v>pass</v>
      </c>
      <c r="R34" s="6" t="s">
        <v>6</v>
      </c>
    </row>
    <row r="35" spans="6:18" ht="15.75" x14ac:dyDescent="0.25">
      <c r="F35" s="1">
        <v>25</v>
      </c>
      <c r="G35" s="2" t="s">
        <v>40</v>
      </c>
      <c r="H35" s="3">
        <v>76</v>
      </c>
      <c r="I35" s="3">
        <v>43</v>
      </c>
      <c r="J35" s="3">
        <v>43</v>
      </c>
      <c r="K35" s="3">
        <v>98</v>
      </c>
      <c r="L35" s="3">
        <v>674</v>
      </c>
      <c r="M35" s="3">
        <v>76</v>
      </c>
      <c r="N35" s="3">
        <v>37</v>
      </c>
      <c r="O35" s="4">
        <v>700</v>
      </c>
      <c r="P35" s="5">
        <v>534</v>
      </c>
      <c r="Q35" s="11" t="str">
        <f t="shared" si="1"/>
        <v>pass</v>
      </c>
      <c r="R35" s="6" t="s">
        <v>4</v>
      </c>
    </row>
  </sheetData>
  <mergeCells count="14">
    <mergeCell ref="O9:O10"/>
    <mergeCell ref="P9:P10"/>
    <mergeCell ref="Q9:Q10"/>
    <mergeCell ref="R9:R10"/>
    <mergeCell ref="F5:R8"/>
    <mergeCell ref="F9:F10"/>
    <mergeCell ref="G9:G10"/>
    <mergeCell ref="H9:H10"/>
    <mergeCell ref="I9:I10"/>
    <mergeCell ref="J9:J10"/>
    <mergeCell ref="K9:K10"/>
    <mergeCell ref="L9:L10"/>
    <mergeCell ref="M9:M10"/>
    <mergeCell ref="N9:N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Acss</cp:lastModifiedBy>
  <dcterms:created xsi:type="dcterms:W3CDTF">2026-03-13T09:02:45Z</dcterms:created>
  <dcterms:modified xsi:type="dcterms:W3CDTF">2026-03-13T20:55:28Z</dcterms:modified>
</cp:coreProperties>
</file>