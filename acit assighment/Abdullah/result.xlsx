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Abdullah\"/>
    </mc:Choice>
  </mc:AlternateContent>
  <bookViews>
    <workbookView xWindow="-120" yWindow="-120" windowWidth="20730" windowHeight="110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1" l="1"/>
  <c r="J9" i="1"/>
  <c r="I26" i="1" l="1"/>
  <c r="I25" i="1"/>
  <c r="I24" i="1"/>
  <c r="I23" i="1"/>
  <c r="I22" i="1"/>
  <c r="L14" i="1"/>
  <c r="K8" i="1"/>
  <c r="K17" i="1"/>
  <c r="M17" i="1" s="1"/>
  <c r="J17" i="1"/>
  <c r="I17" i="1"/>
  <c r="K16" i="1"/>
  <c r="M16" i="1" s="1"/>
  <c r="J16" i="1"/>
  <c r="I16" i="1"/>
  <c r="J15" i="1"/>
  <c r="I15" i="1"/>
  <c r="K15" i="1" s="1"/>
  <c r="J14" i="1"/>
  <c r="I14" i="1"/>
  <c r="K14" i="1" s="1"/>
  <c r="K13" i="1"/>
  <c r="M13" i="1" s="1"/>
  <c r="J13" i="1"/>
  <c r="I13" i="1"/>
  <c r="K12" i="1"/>
  <c r="L12" i="1" s="1"/>
  <c r="J12" i="1"/>
  <c r="I12" i="1"/>
  <c r="J11" i="1"/>
  <c r="I11" i="1"/>
  <c r="K11" i="1" s="1"/>
  <c r="I10" i="1"/>
  <c r="K10" i="1" s="1"/>
  <c r="K9" i="1"/>
  <c r="M9" i="1" s="1"/>
  <c r="I9" i="1"/>
  <c r="L8" i="1"/>
  <c r="J8" i="1"/>
  <c r="I8" i="1"/>
  <c r="L10" i="1" l="1"/>
  <c r="M10" i="1"/>
  <c r="M14" i="1"/>
  <c r="M15" i="1"/>
  <c r="L15" i="1"/>
  <c r="L11" i="1"/>
  <c r="M11" i="1"/>
  <c r="L16" i="1"/>
  <c r="M8" i="1"/>
  <c r="L9" i="1"/>
  <c r="M12" i="1"/>
  <c r="L13" i="1"/>
  <c r="L17" i="1"/>
</calcChain>
</file>

<file path=xl/sharedStrings.xml><?xml version="1.0" encoding="utf-8"?>
<sst xmlns="http://schemas.openxmlformats.org/spreadsheetml/2006/main" count="45" uniqueCount="39">
  <si>
    <t>Registration numbers</t>
  </si>
  <si>
    <t>Name</t>
  </si>
  <si>
    <t>Phy</t>
  </si>
  <si>
    <t>Che</t>
  </si>
  <si>
    <t>Eng</t>
  </si>
  <si>
    <t>Pak</t>
  </si>
  <si>
    <t>Math</t>
  </si>
  <si>
    <t>Total</t>
  </si>
  <si>
    <t>Obtained marks</t>
  </si>
  <si>
    <t>staus</t>
  </si>
  <si>
    <t>%age</t>
  </si>
  <si>
    <t>Grade</t>
  </si>
  <si>
    <t>Position</t>
  </si>
  <si>
    <t>RG-005</t>
  </si>
  <si>
    <t>RG-006</t>
  </si>
  <si>
    <t>RG-004</t>
  </si>
  <si>
    <t>RG-007</t>
  </si>
  <si>
    <t>RG-009</t>
  </si>
  <si>
    <t>RG-008</t>
  </si>
  <si>
    <t>RG-001</t>
  </si>
  <si>
    <t>RG-010</t>
  </si>
  <si>
    <t>Aimal</t>
  </si>
  <si>
    <t>RG-003</t>
  </si>
  <si>
    <t>RG-002</t>
  </si>
  <si>
    <t>enter name</t>
  </si>
  <si>
    <t>obtain marks</t>
  </si>
  <si>
    <t xml:space="preserve">grade </t>
  </si>
  <si>
    <t>position</t>
  </si>
  <si>
    <t>status</t>
  </si>
  <si>
    <t>ajmal</t>
  </si>
  <si>
    <t>akmal</t>
  </si>
  <si>
    <t>zahad</t>
  </si>
  <si>
    <t>kareem</t>
  </si>
  <si>
    <t>irfan</t>
  </si>
  <si>
    <t>naeem</t>
  </si>
  <si>
    <t>khan</t>
  </si>
  <si>
    <t>ali</t>
  </si>
  <si>
    <t>sher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</si>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</sst>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3" borderId="0" xfId="0" applyFill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26"/>
  <sheetViews>
    <sheetView tabSelected="1" topLeftCell="A9" workbookViewId="0">
      <selection activeCell="H20" sqref="H20:H21"/>
    </sheetView>
  </sheetViews>
  <sheetFormatPr defaultRowHeight="15" x14ac:dyDescent="0.25"/>
  <cols>
    <col min="1" max="1" width="20.28515625" bestFit="1" customWidth="1"/>
    <col min="2" max="2" width="20.140625" bestFit="1" customWidth="1"/>
    <col min="3" max="3" width="8.42578125" bestFit="1" customWidth="1"/>
    <col min="4" max="4" width="4.42578125" bestFit="1" customWidth="1"/>
    <col min="5" max="6" width="4.140625" bestFit="1" customWidth="1"/>
    <col min="7" max="7" width="12.42578125" bestFit="1" customWidth="1"/>
    <col min="8" max="8" width="5.42578125" bestFit="1" customWidth="1"/>
    <col min="9" max="9" width="15.140625" bestFit="1" customWidth="1"/>
    <col min="10" max="10" width="5.5703125" bestFit="1" customWidth="1"/>
    <col min="11" max="11" width="5.7109375" bestFit="1" customWidth="1"/>
    <col min="12" max="12" width="6.28515625" bestFit="1" customWidth="1"/>
    <col min="13" max="13" width="8.28515625" bestFit="1" customWidth="1"/>
  </cols>
  <sheetData>
    <row r="5" spans="1:13" x14ac:dyDescent="0.25">
      <c r="A5" s="6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</row>
    <row r="6" spans="1:13" ht="1.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13.5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x14ac:dyDescent="0.25">
      <c r="A8" s="3" t="s">
        <v>13</v>
      </c>
      <c r="B8" s="2" t="s">
        <v>37</v>
      </c>
      <c r="C8" s="1">
        <v>90</v>
      </c>
      <c r="D8" s="1">
        <v>99</v>
      </c>
      <c r="E8" s="1">
        <v>89</v>
      </c>
      <c r="F8" s="1">
        <v>89</v>
      </c>
      <c r="G8" s="1">
        <v>88</v>
      </c>
      <c r="H8" s="3">
        <v>500</v>
      </c>
      <c r="I8" s="3">
        <f t="shared" ref="I8:I17" si="0">SUM(C8:G8)</f>
        <v>455</v>
      </c>
      <c r="J8" s="3" t="str">
        <f t="shared" ref="J8:J17" si="1">IF(C8&lt;35,"fail",IF(D8&lt;35,"fail",IF(E8&lt;35,"fail",IF(F8&lt;35,"Fail",IF(G8&lt;35,"fail","Pass")))))</f>
        <v>Pass</v>
      </c>
      <c r="K8" s="4">
        <f t="shared" ref="K8:K17" si="2">I8/H8*100</f>
        <v>91</v>
      </c>
      <c r="L8" s="3" t="str">
        <f t="shared" ref="L8:L17" si="3">IF(K8&gt;=90,"A+",IF(K8&gt;=80,"A",IF(K8&gt;=70,"B",IF(K8&gt;=60,"C","------"))))</f>
        <v>A+</v>
      </c>
      <c r="M8" s="3" t="str">
        <f>IF(K8&gt;=90,"First",IF(K8&gt;80,"Second",IF(K8&gt;79,"Third","------")))</f>
        <v>First</v>
      </c>
    </row>
    <row r="9" spans="1:13" x14ac:dyDescent="0.25">
      <c r="A9" s="3" t="s">
        <v>14</v>
      </c>
      <c r="B9" s="2" t="s">
        <v>29</v>
      </c>
      <c r="C9" s="1">
        <v>93</v>
      </c>
      <c r="D9" s="1">
        <v>80</v>
      </c>
      <c r="E9" s="1">
        <v>66</v>
      </c>
      <c r="F9" s="1">
        <v>92</v>
      </c>
      <c r="G9" s="1">
        <v>88</v>
      </c>
      <c r="H9" s="3">
        <v>500</v>
      </c>
      <c r="I9" s="3">
        <f t="shared" si="0"/>
        <v>419</v>
      </c>
      <c r="J9" s="3" t="str">
        <f>IF(C9&lt;35,"fail",IF(D9&lt;35,"fail",IF(E9&lt;35,"fail",IF(F9&lt;35,"Fail",IF(G9&lt;35,"fail","Pass")))))</f>
        <v>Pass</v>
      </c>
      <c r="K9" s="4">
        <f t="shared" si="2"/>
        <v>83.8</v>
      </c>
      <c r="L9" s="3" t="str">
        <f t="shared" si="3"/>
        <v>A</v>
      </c>
      <c r="M9" s="3" t="str">
        <f t="shared" ref="M9:M17" si="4">IF(K9&gt;=90,"First",IF(K9&gt;80,"Second",IF(K9&gt;79,"Third","------")))</f>
        <v>Second</v>
      </c>
    </row>
    <row r="10" spans="1:13" x14ac:dyDescent="0.25">
      <c r="A10" s="3" t="s">
        <v>15</v>
      </c>
      <c r="B10" s="2" t="s">
        <v>30</v>
      </c>
      <c r="C10" s="1">
        <v>49</v>
      </c>
      <c r="D10" s="1">
        <v>86</v>
      </c>
      <c r="E10" s="1">
        <v>88</v>
      </c>
      <c r="F10" s="1">
        <v>87</v>
      </c>
      <c r="G10" s="1">
        <v>90</v>
      </c>
      <c r="H10" s="3">
        <v>500</v>
      </c>
      <c r="I10" s="3">
        <f t="shared" si="0"/>
        <v>400</v>
      </c>
      <c r="J10" s="3" t="str">
        <f>IF(C10&lt;35,"fail",IF(D10&lt;35,"fail",IF(E10&lt;35,"fail",IF(F10&lt;35,"Fail",IF(G10&lt;35,"fail","Pass")))))</f>
        <v>Pass</v>
      </c>
      <c r="K10" s="4">
        <f t="shared" si="2"/>
        <v>80</v>
      </c>
      <c r="L10" s="3" t="str">
        <f t="shared" si="3"/>
        <v>A</v>
      </c>
      <c r="M10" s="3" t="str">
        <f t="shared" si="4"/>
        <v>Third</v>
      </c>
    </row>
    <row r="11" spans="1:13" x14ac:dyDescent="0.25">
      <c r="A11" s="3" t="s">
        <v>16</v>
      </c>
      <c r="B11" s="2" t="s">
        <v>31</v>
      </c>
      <c r="C11" s="1">
        <v>99</v>
      </c>
      <c r="D11" s="1">
        <v>73</v>
      </c>
      <c r="E11" s="1">
        <v>77</v>
      </c>
      <c r="F11" s="1">
        <v>40</v>
      </c>
      <c r="G11" s="1">
        <v>85</v>
      </c>
      <c r="H11" s="3">
        <v>500</v>
      </c>
      <c r="I11" s="3">
        <f t="shared" si="0"/>
        <v>374</v>
      </c>
      <c r="J11" s="3" t="str">
        <f t="shared" si="1"/>
        <v>Pass</v>
      </c>
      <c r="K11" s="4">
        <f t="shared" si="2"/>
        <v>74.8</v>
      </c>
      <c r="L11" s="3" t="str">
        <f t="shared" si="3"/>
        <v>B</v>
      </c>
      <c r="M11" s="3" t="str">
        <f t="shared" si="4"/>
        <v>------</v>
      </c>
    </row>
    <row r="12" spans="1:13" x14ac:dyDescent="0.25">
      <c r="A12" s="3" t="s">
        <v>17</v>
      </c>
      <c r="B12" s="2" t="s">
        <v>32</v>
      </c>
      <c r="C12" s="1">
        <v>99</v>
      </c>
      <c r="D12" s="1">
        <v>58</v>
      </c>
      <c r="E12" s="1">
        <v>49</v>
      </c>
      <c r="F12" s="1">
        <v>36</v>
      </c>
      <c r="G12" s="1">
        <v>85</v>
      </c>
      <c r="H12" s="3">
        <v>500</v>
      </c>
      <c r="I12" s="3">
        <f t="shared" si="0"/>
        <v>327</v>
      </c>
      <c r="J12" s="3" t="str">
        <f t="shared" si="1"/>
        <v>Pass</v>
      </c>
      <c r="K12" s="4">
        <f t="shared" si="2"/>
        <v>65.400000000000006</v>
      </c>
      <c r="L12" s="3" t="str">
        <f t="shared" si="3"/>
        <v>C</v>
      </c>
      <c r="M12" s="3" t="str">
        <f t="shared" si="4"/>
        <v>------</v>
      </c>
    </row>
    <row r="13" spans="1:13" x14ac:dyDescent="0.25">
      <c r="A13" s="3" t="s">
        <v>18</v>
      </c>
      <c r="B13" s="2" t="s">
        <v>33</v>
      </c>
      <c r="C13" s="1">
        <v>49</v>
      </c>
      <c r="D13" s="1">
        <v>99</v>
      </c>
      <c r="E13" s="1">
        <v>55</v>
      </c>
      <c r="F13" s="1">
        <v>66</v>
      </c>
      <c r="G13" s="1">
        <v>47</v>
      </c>
      <c r="H13" s="3">
        <v>500</v>
      </c>
      <c r="I13" s="3">
        <f t="shared" si="0"/>
        <v>316</v>
      </c>
      <c r="J13" s="3" t="str">
        <f t="shared" si="1"/>
        <v>Pass</v>
      </c>
      <c r="K13" s="4">
        <f t="shared" si="2"/>
        <v>63.2</v>
      </c>
      <c r="L13" s="3" t="str">
        <f t="shared" si="3"/>
        <v>C</v>
      </c>
      <c r="M13" s="3" t="str">
        <f t="shared" si="4"/>
        <v>------</v>
      </c>
    </row>
    <row r="14" spans="1:13" x14ac:dyDescent="0.25">
      <c r="A14" s="3" t="s">
        <v>19</v>
      </c>
      <c r="B14" s="1" t="s">
        <v>34</v>
      </c>
      <c r="C14" s="1">
        <v>75</v>
      </c>
      <c r="D14" s="1">
        <v>43</v>
      </c>
      <c r="E14" s="1">
        <v>63</v>
      </c>
      <c r="F14" s="1">
        <v>61</v>
      </c>
      <c r="G14" s="1">
        <v>44</v>
      </c>
      <c r="H14" s="3">
        <v>500</v>
      </c>
      <c r="I14" s="3">
        <f t="shared" si="0"/>
        <v>286</v>
      </c>
      <c r="J14" s="3" t="str">
        <f t="shared" si="1"/>
        <v>Pass</v>
      </c>
      <c r="K14" s="4">
        <f t="shared" si="2"/>
        <v>57.199999999999996</v>
      </c>
      <c r="L14" s="3" t="str">
        <f t="shared" si="3"/>
        <v>------</v>
      </c>
      <c r="M14" s="3" t="str">
        <f t="shared" si="4"/>
        <v>------</v>
      </c>
    </row>
    <row r="15" spans="1:13" x14ac:dyDescent="0.25">
      <c r="A15" s="3" t="s">
        <v>20</v>
      </c>
      <c r="B15" s="1" t="s">
        <v>21</v>
      </c>
      <c r="C15" s="1">
        <v>37</v>
      </c>
      <c r="D15" s="1">
        <v>49</v>
      </c>
      <c r="E15" s="1">
        <v>45</v>
      </c>
      <c r="F15" s="1">
        <v>42</v>
      </c>
      <c r="G15" s="1">
        <v>88</v>
      </c>
      <c r="H15" s="3">
        <v>500</v>
      </c>
      <c r="I15" s="3">
        <f t="shared" si="0"/>
        <v>261</v>
      </c>
      <c r="J15" s="3" t="str">
        <f t="shared" si="1"/>
        <v>Pass</v>
      </c>
      <c r="K15" s="4">
        <f t="shared" si="2"/>
        <v>52.2</v>
      </c>
      <c r="L15" s="3" t="str">
        <f t="shared" si="3"/>
        <v>------</v>
      </c>
      <c r="M15" s="3" t="str">
        <f t="shared" si="4"/>
        <v>------</v>
      </c>
    </row>
    <row r="16" spans="1:13" x14ac:dyDescent="0.25">
      <c r="A16" s="3" t="s">
        <v>22</v>
      </c>
      <c r="B16" s="2" t="s">
        <v>35</v>
      </c>
      <c r="C16" s="1">
        <v>46</v>
      </c>
      <c r="D16" s="1">
        <v>31</v>
      </c>
      <c r="E16" s="1">
        <v>62</v>
      </c>
      <c r="F16" s="1">
        <v>64</v>
      </c>
      <c r="G16" s="1">
        <v>56</v>
      </c>
      <c r="H16" s="3">
        <v>500</v>
      </c>
      <c r="I16" s="3">
        <f t="shared" si="0"/>
        <v>259</v>
      </c>
      <c r="J16" s="3" t="str">
        <f t="shared" si="1"/>
        <v>fail</v>
      </c>
      <c r="K16" s="4">
        <f t="shared" si="2"/>
        <v>51.800000000000004</v>
      </c>
      <c r="L16" s="3" t="str">
        <f t="shared" si="3"/>
        <v>------</v>
      </c>
      <c r="M16" s="3" t="str">
        <f t="shared" si="4"/>
        <v>------</v>
      </c>
    </row>
    <row r="17" spans="1:13" x14ac:dyDescent="0.25">
      <c r="A17" s="3" t="s">
        <v>23</v>
      </c>
      <c r="B17" s="2" t="s">
        <v>36</v>
      </c>
      <c r="C17" s="1">
        <v>13</v>
      </c>
      <c r="D17" s="1">
        <v>0</v>
      </c>
      <c r="E17" s="1">
        <v>91</v>
      </c>
      <c r="F17" s="1">
        <v>52</v>
      </c>
      <c r="G17" s="1">
        <v>7</v>
      </c>
      <c r="H17" s="3">
        <v>500</v>
      </c>
      <c r="I17" s="3">
        <f t="shared" si="0"/>
        <v>163</v>
      </c>
      <c r="J17" s="3" t="str">
        <f t="shared" si="1"/>
        <v>fail</v>
      </c>
      <c r="K17" s="4">
        <f t="shared" si="2"/>
        <v>32.6</v>
      </c>
      <c r="L17" s="3" t="str">
        <f t="shared" si="3"/>
        <v>------</v>
      </c>
      <c r="M17" s="3" t="str">
        <f t="shared" si="4"/>
        <v>------</v>
      </c>
    </row>
    <row r="20" spans="1:13" x14ac:dyDescent="0.25">
      <c r="G20" s="8" t="s">
        <v>24</v>
      </c>
      <c r="H20" s="9"/>
      <c r="I20" s="10" t="s">
        <v>37</v>
      </c>
    </row>
    <row r="21" spans="1:13" x14ac:dyDescent="0.25">
      <c r="B21" s="5"/>
      <c r="C21" s="5"/>
      <c r="F21" s="5"/>
      <c r="G21" s="8"/>
      <c r="H21" s="9"/>
      <c r="I21" s="10"/>
    </row>
    <row r="22" spans="1:13" x14ac:dyDescent="0.25">
      <c r="B22" s="5"/>
      <c r="C22" s="5"/>
      <c r="G22" s="1" t="s">
        <v>25</v>
      </c>
      <c r="H22" s="11" t="s">
        <v>38</v>
      </c>
      <c r="I22" s="1">
        <f>VLOOKUP(I20,B5:M17,8,FALSE)</f>
        <v>455</v>
      </c>
    </row>
    <row r="23" spans="1:13" x14ac:dyDescent="0.25">
      <c r="G23" s="1" t="s">
        <v>10</v>
      </c>
      <c r="H23" s="11" t="s">
        <v>38</v>
      </c>
      <c r="I23" s="1">
        <f>VLOOKUP(I20,B5:M17,10,FALSE)</f>
        <v>91</v>
      </c>
    </row>
    <row r="24" spans="1:13" x14ac:dyDescent="0.25">
      <c r="G24" s="1" t="s">
        <v>26</v>
      </c>
      <c r="H24" s="11" t="s">
        <v>38</v>
      </c>
      <c r="I24" s="1" t="str">
        <f>VLOOKUP(I20,B5:M17,11,FALSE)</f>
        <v>A+</v>
      </c>
    </row>
    <row r="25" spans="1:13" x14ac:dyDescent="0.25">
      <c r="G25" s="1" t="s">
        <v>27</v>
      </c>
      <c r="H25" s="11" t="s">
        <v>38</v>
      </c>
      <c r="I25" s="1" t="str">
        <f>VLOOKUP(I20,B5:M17,12,FALSE)</f>
        <v>First</v>
      </c>
    </row>
    <row r="26" spans="1:13" x14ac:dyDescent="0.25">
      <c r="G26" s="1" t="s">
        <v>28</v>
      </c>
      <c r="H26" s="11" t="s">
        <v>38</v>
      </c>
      <c r="I26" s="1" t="str">
        <f>VLOOKUP(I20,B5:M17,9,FALSE)</f>
        <v>Pass</v>
      </c>
    </row>
  </sheetData>
  <mergeCells count="16">
    <mergeCell ref="A5:A7"/>
    <mergeCell ref="G20:G21"/>
    <mergeCell ref="H20:H21"/>
    <mergeCell ref="I20:I21"/>
    <mergeCell ref="M5:M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</mergeCells>
  <conditionalFormatting sqref="J8:J17">
    <cfRule type="containsText" dxfId="10" priority="5" operator="containsText" text="pass">
      <formula>NOT(ISERROR(SEARCH("pass",J8)))</formula>
    </cfRule>
    <cfRule type="containsText" dxfId="9" priority="6" operator="containsText" text="fail">
      <formula>NOT(ISERROR(SEARCH("fail",J8)))</formula>
    </cfRule>
  </conditionalFormatting>
  <conditionalFormatting sqref="L8:L17">
    <cfRule type="containsText" dxfId="8" priority="7" operator="containsText" text="A+">
      <formula>NOT(ISERROR(SEARCH("A+",L8)))</formula>
    </cfRule>
  </conditionalFormatting>
  <conditionalFormatting sqref="L9:L13">
    <cfRule type="containsText" dxfId="7" priority="1" operator="containsText" text="C">
      <formula>NOT(ISERROR(SEARCH("C",L9)))</formula>
    </cfRule>
    <cfRule type="containsText" dxfId="6" priority="2" operator="containsText" text="B">
      <formula>NOT(ISERROR(SEARCH("B",L9)))</formula>
    </cfRule>
    <cfRule type="containsText" dxfId="5" priority="3" operator="containsText" text="A">
      <formula>NOT(ISERROR(SEARCH("A",L9)))</formula>
    </cfRule>
    <cfRule type="containsText" dxfId="4" priority="4" operator="containsText" text="b,c,a">
      <formula>NOT(ISERROR(SEARCH("b,c,a",L9)))</formula>
    </cfRule>
  </conditionalFormatting>
  <conditionalFormatting sqref="M8:M17">
    <cfRule type="containsText" dxfId="3" priority="8" operator="containsText" text="third">
      <formula>NOT(ISERROR(SEARCH("third",M8)))</formula>
    </cfRule>
    <cfRule type="containsText" dxfId="2" priority="9" operator="containsText" text="third">
      <formula>NOT(ISERROR(SEARCH("third",M8)))</formula>
    </cfRule>
    <cfRule type="containsText" dxfId="1" priority="10" operator="containsText" text="second">
      <formula>NOT(ISERROR(SEARCH("second",M8)))</formula>
    </cfRule>
    <cfRule type="containsText" dxfId="0" priority="11" operator="containsText" text="first">
      <formula>NOT(ISERROR(SEARCH("first",M8)))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umarghjkh gjgdsssas</dc:creator>
  <cp:lastModifiedBy>Admin</cp:lastModifiedBy>
  <dcterms:created xsi:type="dcterms:W3CDTF">2025-10-09T05:43:54Z</dcterms:created>
  <dcterms:modified xsi:type="dcterms:W3CDTF">2025-10-07T10:09:10Z</dcterms:modified>
</cp:coreProperties>
</file>