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-105" yWindow="-105" windowWidth="2325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O7" i="1" l="1"/>
  <c r="AO8" i="1"/>
  <c r="AO9" i="1"/>
  <c r="AO10" i="1"/>
  <c r="AO11" i="1"/>
  <c r="AO12" i="1"/>
  <c r="AO13" i="1"/>
  <c r="AO14" i="1"/>
  <c r="AO15" i="1"/>
  <c r="AO6" i="1"/>
  <c r="AN8" i="1"/>
  <c r="AN7" i="1" l="1"/>
  <c r="AN9" i="1"/>
  <c r="AN10" i="1"/>
  <c r="AN11" i="1"/>
  <c r="AN12" i="1"/>
  <c r="AN13" i="1"/>
  <c r="AN14" i="1"/>
  <c r="AN15" i="1"/>
  <c r="AN6" i="1"/>
  <c r="AM7" i="1"/>
  <c r="AM8" i="1"/>
  <c r="AM9" i="1"/>
  <c r="AM10" i="1"/>
  <c r="AM11" i="1"/>
  <c r="AM12" i="1"/>
  <c r="AM13" i="1"/>
  <c r="AM14" i="1"/>
  <c r="AM15" i="1"/>
  <c r="AM6" i="1"/>
  <c r="AL7" i="1"/>
  <c r="AP7" i="1" s="1"/>
  <c r="AL8" i="1"/>
  <c r="AP8" i="1" s="1"/>
  <c r="AL9" i="1"/>
  <c r="AP9" i="1" s="1"/>
  <c r="AL10" i="1"/>
  <c r="AP10" i="1" s="1"/>
  <c r="AL11" i="1"/>
  <c r="AP11" i="1" s="1"/>
  <c r="AL12" i="1"/>
  <c r="AP12" i="1" s="1"/>
  <c r="AL13" i="1"/>
  <c r="AP13" i="1" s="1"/>
  <c r="AL14" i="1"/>
  <c r="AP14" i="1" s="1"/>
  <c r="AL15" i="1"/>
  <c r="AP15" i="1" s="1"/>
  <c r="AL6" i="1"/>
  <c r="AP6" i="1" l="1"/>
</calcChain>
</file>

<file path=xl/sharedStrings.xml><?xml version="1.0" encoding="utf-8"?>
<sst xmlns="http://schemas.openxmlformats.org/spreadsheetml/2006/main" count="331" uniqueCount="37">
  <si>
    <t>S#</t>
  </si>
  <si>
    <t>Reg#</t>
  </si>
  <si>
    <t>Name</t>
  </si>
  <si>
    <t>Mon</t>
  </si>
  <si>
    <t>Tue</t>
  </si>
  <si>
    <t>Wed</t>
  </si>
  <si>
    <t>Thu</t>
  </si>
  <si>
    <t>Fri</t>
  </si>
  <si>
    <t>Sat</t>
  </si>
  <si>
    <t>Sun</t>
  </si>
  <si>
    <t>RG-01</t>
  </si>
  <si>
    <t>RG-02</t>
  </si>
  <si>
    <t>RG-03</t>
  </si>
  <si>
    <t>RG-04</t>
  </si>
  <si>
    <t>RG-05</t>
  </si>
  <si>
    <t>RG-06</t>
  </si>
  <si>
    <t>RG-07</t>
  </si>
  <si>
    <t>RG-08</t>
  </si>
  <si>
    <t>RG-09</t>
  </si>
  <si>
    <t>RG-10</t>
  </si>
  <si>
    <t xml:space="preserve">Shoaib </t>
  </si>
  <si>
    <t>Eibad</t>
  </si>
  <si>
    <t>Sharyar</t>
  </si>
  <si>
    <t>Shabeer</t>
  </si>
  <si>
    <t>Hafeez</t>
  </si>
  <si>
    <t>Idrees</t>
  </si>
  <si>
    <t>Ibraheem</t>
  </si>
  <si>
    <t>Hikmat</t>
  </si>
  <si>
    <t>Masood</t>
  </si>
  <si>
    <t>Junaid</t>
  </si>
  <si>
    <t>P</t>
  </si>
  <si>
    <t>W.D</t>
  </si>
  <si>
    <t>A</t>
  </si>
  <si>
    <t>L</t>
  </si>
  <si>
    <t>Remarks</t>
  </si>
  <si>
    <t>%Age</t>
  </si>
  <si>
    <t>Elegibility for Exam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</si>
</sst>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C6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1" tint="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2" fillId="3" borderId="1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0" fontId="3" fillId="4" borderId="1" xfId="0" applyFont="1" applyFill="1" applyBorder="1" applyAlignment="1">
      <alignment horizontal="center" vertical="top"/>
    </xf>
    <xf numFmtId="0" fontId="3" fillId="2" borderId="1" xfId="0" applyFont="1" applyFill="1" applyBorder="1" applyAlignment="1">
      <alignment horizontal="center" vertical="top"/>
    </xf>
    <xf numFmtId="164" fontId="3" fillId="0" borderId="1" xfId="0" applyNumberFormat="1" applyFont="1" applyBorder="1" applyAlignment="1">
      <alignment horizontal="center" vertical="top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ED200"/>
      <color rgb="FFFFCC66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AS20"/>
  <sheetViews>
    <sheetView tabSelected="1" zoomScaleNormal="100" workbookViewId="0">
      <selection activeCell="P24" sqref="P24"/>
    </sheetView>
  </sheetViews>
  <sheetFormatPr defaultColWidth="8.85546875" defaultRowHeight="15" x14ac:dyDescent="0.25"/>
  <cols>
    <col min="1" max="2" width="8.85546875" style="1"/>
    <col min="3" max="3" width="5.7109375" style="1" customWidth="1"/>
    <col min="4" max="4" width="7" style="1" customWidth="1"/>
    <col min="5" max="5" width="20.7109375" style="1" customWidth="1"/>
    <col min="6" max="36" width="7.28515625" style="1" customWidth="1"/>
    <col min="37" max="40" width="6.28515625" style="1" customWidth="1"/>
    <col min="41" max="41" width="8" style="1" customWidth="1"/>
    <col min="42" max="42" width="7.7109375" style="1" customWidth="1"/>
    <col min="43" max="44" width="8.85546875" style="1"/>
    <col min="45" max="45" width="3.28515625" style="1" customWidth="1"/>
    <col min="46" max="16384" width="8.85546875" style="1"/>
  </cols>
  <sheetData>
    <row r="4" spans="3:45" ht="15.75" x14ac:dyDescent="0.25">
      <c r="C4" s="3" t="s">
        <v>0</v>
      </c>
      <c r="D4" s="3" t="s">
        <v>1</v>
      </c>
      <c r="E4" s="3" t="s">
        <v>2</v>
      </c>
      <c r="F4" s="3" t="s">
        <v>3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8</v>
      </c>
      <c r="L4" s="4" t="s">
        <v>9</v>
      </c>
      <c r="M4" s="3" t="s">
        <v>3</v>
      </c>
      <c r="N4" s="3" t="s">
        <v>4</v>
      </c>
      <c r="O4" s="3" t="s">
        <v>5</v>
      </c>
      <c r="P4" s="3" t="s">
        <v>6</v>
      </c>
      <c r="Q4" s="3" t="s">
        <v>7</v>
      </c>
      <c r="R4" s="3" t="s">
        <v>8</v>
      </c>
      <c r="S4" s="4" t="s">
        <v>9</v>
      </c>
      <c r="T4" s="3" t="s">
        <v>3</v>
      </c>
      <c r="U4" s="3" t="s">
        <v>4</v>
      </c>
      <c r="V4" s="3" t="s">
        <v>5</v>
      </c>
      <c r="W4" s="3" t="s">
        <v>6</v>
      </c>
      <c r="X4" s="3" t="s">
        <v>7</v>
      </c>
      <c r="Y4" s="3" t="s">
        <v>8</v>
      </c>
      <c r="Z4" s="4" t="s">
        <v>9</v>
      </c>
      <c r="AA4" s="3" t="s">
        <v>3</v>
      </c>
      <c r="AB4" s="3" t="s">
        <v>4</v>
      </c>
      <c r="AC4" s="3" t="s">
        <v>5</v>
      </c>
      <c r="AD4" s="3" t="s">
        <v>6</v>
      </c>
      <c r="AE4" s="3" t="s">
        <v>7</v>
      </c>
      <c r="AF4" s="3" t="s">
        <v>8</v>
      </c>
      <c r="AG4" s="4" t="s">
        <v>9</v>
      </c>
      <c r="AH4" s="3" t="s">
        <v>3</v>
      </c>
      <c r="AI4" s="3" t="s">
        <v>4</v>
      </c>
      <c r="AJ4" s="3" t="s">
        <v>5</v>
      </c>
      <c r="AK4" s="3" t="s">
        <v>31</v>
      </c>
      <c r="AL4" s="3" t="s">
        <v>30</v>
      </c>
      <c r="AM4" s="3" t="s">
        <v>32</v>
      </c>
      <c r="AN4" s="3" t="s">
        <v>33</v>
      </c>
      <c r="AO4" s="3" t="s">
        <v>34</v>
      </c>
      <c r="AP4" s="3" t="s">
        <v>35</v>
      </c>
      <c r="AQ4" s="5" t="s">
        <v>36</v>
      </c>
      <c r="AR4" s="5"/>
      <c r="AS4" s="5"/>
    </row>
    <row r="5" spans="3:45" ht="15.75" x14ac:dyDescent="0.25">
      <c r="C5" s="3"/>
      <c r="D5" s="3"/>
      <c r="E5" s="3"/>
      <c r="F5" s="3">
        <v>1</v>
      </c>
      <c r="G5" s="3">
        <v>2</v>
      </c>
      <c r="H5" s="3">
        <v>3</v>
      </c>
      <c r="I5" s="3">
        <v>4</v>
      </c>
      <c r="J5" s="3">
        <v>5</v>
      </c>
      <c r="K5" s="3">
        <v>6</v>
      </c>
      <c r="L5" s="4">
        <v>7</v>
      </c>
      <c r="M5" s="3">
        <v>8</v>
      </c>
      <c r="N5" s="3">
        <v>9</v>
      </c>
      <c r="O5" s="3">
        <v>10</v>
      </c>
      <c r="P5" s="3">
        <v>11</v>
      </c>
      <c r="Q5" s="3">
        <v>12</v>
      </c>
      <c r="R5" s="3">
        <v>13</v>
      </c>
      <c r="S5" s="4">
        <v>14</v>
      </c>
      <c r="T5" s="3">
        <v>15</v>
      </c>
      <c r="U5" s="3">
        <v>16</v>
      </c>
      <c r="V5" s="3">
        <v>17</v>
      </c>
      <c r="W5" s="3">
        <v>18</v>
      </c>
      <c r="X5" s="3">
        <v>19</v>
      </c>
      <c r="Y5" s="3">
        <v>20</v>
      </c>
      <c r="Z5" s="4">
        <v>21</v>
      </c>
      <c r="AA5" s="3">
        <v>22</v>
      </c>
      <c r="AB5" s="3">
        <v>23</v>
      </c>
      <c r="AC5" s="3">
        <v>24</v>
      </c>
      <c r="AD5" s="3">
        <v>25</v>
      </c>
      <c r="AE5" s="3">
        <v>26</v>
      </c>
      <c r="AF5" s="3">
        <v>27</v>
      </c>
      <c r="AG5" s="4">
        <v>28</v>
      </c>
      <c r="AH5" s="3">
        <v>29</v>
      </c>
      <c r="AI5" s="3">
        <v>30</v>
      </c>
      <c r="AJ5" s="3">
        <v>31</v>
      </c>
      <c r="AK5" s="3"/>
      <c r="AL5" s="3"/>
      <c r="AM5" s="3"/>
      <c r="AN5" s="3"/>
      <c r="AO5" s="3"/>
      <c r="AP5" s="3"/>
      <c r="AQ5" s="5"/>
      <c r="AR5" s="5"/>
      <c r="AS5" s="5"/>
    </row>
    <row r="6" spans="3:45" ht="15.75" x14ac:dyDescent="0.25">
      <c r="C6" s="6">
        <v>1</v>
      </c>
      <c r="D6" s="6" t="s">
        <v>10</v>
      </c>
      <c r="E6" s="6" t="s">
        <v>20</v>
      </c>
      <c r="F6" s="6" t="s">
        <v>30</v>
      </c>
      <c r="G6" s="6" t="s">
        <v>30</v>
      </c>
      <c r="H6" s="6" t="s">
        <v>30</v>
      </c>
      <c r="I6" s="6" t="s">
        <v>30</v>
      </c>
      <c r="J6" s="6" t="s">
        <v>30</v>
      </c>
      <c r="K6" s="6" t="s">
        <v>32</v>
      </c>
      <c r="L6" s="7"/>
      <c r="M6" s="6" t="s">
        <v>30</v>
      </c>
      <c r="N6" s="6" t="s">
        <v>30</v>
      </c>
      <c r="O6" s="6" t="s">
        <v>30</v>
      </c>
      <c r="P6" s="6" t="s">
        <v>30</v>
      </c>
      <c r="Q6" s="6" t="s">
        <v>30</v>
      </c>
      <c r="R6" s="6" t="s">
        <v>30</v>
      </c>
      <c r="S6" s="7"/>
      <c r="T6" s="6" t="s">
        <v>30</v>
      </c>
      <c r="U6" s="6" t="s">
        <v>30</v>
      </c>
      <c r="V6" s="6" t="s">
        <v>30</v>
      </c>
      <c r="W6" s="6" t="s">
        <v>30</v>
      </c>
      <c r="X6" s="6" t="s">
        <v>30</v>
      </c>
      <c r="Y6" s="6" t="s">
        <v>33</v>
      </c>
      <c r="Z6" s="7"/>
      <c r="AA6" s="6" t="s">
        <v>30</v>
      </c>
      <c r="AB6" s="6" t="s">
        <v>30</v>
      </c>
      <c r="AC6" s="6" t="s">
        <v>30</v>
      </c>
      <c r="AD6" s="6" t="s">
        <v>30</v>
      </c>
      <c r="AE6" s="6" t="s">
        <v>30</v>
      </c>
      <c r="AF6" s="6" t="s">
        <v>30</v>
      </c>
      <c r="AG6" s="7"/>
      <c r="AH6" s="6" t="s">
        <v>30</v>
      </c>
      <c r="AI6" s="6" t="s">
        <v>30</v>
      </c>
      <c r="AJ6" s="6" t="s">
        <v>30</v>
      </c>
      <c r="AK6" s="6">
        <v>31</v>
      </c>
      <c r="AL6" s="8">
        <f>COUNTIF(F6:AJ6, "p" )</f>
        <v>25</v>
      </c>
      <c r="AM6" s="8">
        <f>COUNTIF(F6:AJ6, "A" )</f>
        <v>1</v>
      </c>
      <c r="AN6" s="8">
        <f>COUNTIF(F6:AJ6, "L" )</f>
        <v>1</v>
      </c>
      <c r="AO6" s="6">
        <f>AT7</f>
        <v>0</v>
      </c>
      <c r="AP6" s="9">
        <f>(AL6/AK6)*100</f>
        <v>80.645161290322577</v>
      </c>
      <c r="AQ6" s="10"/>
      <c r="AR6" s="10"/>
      <c r="AS6" s="10"/>
    </row>
    <row r="7" spans="3:45" ht="15.75" x14ac:dyDescent="0.25">
      <c r="C7" s="6">
        <v>2</v>
      </c>
      <c r="D7" s="6" t="s">
        <v>11</v>
      </c>
      <c r="E7" s="6" t="s">
        <v>21</v>
      </c>
      <c r="F7" s="6" t="s">
        <v>30</v>
      </c>
      <c r="G7" s="6" t="s">
        <v>30</v>
      </c>
      <c r="H7" s="6" t="s">
        <v>30</v>
      </c>
      <c r="I7" s="6" t="s">
        <v>30</v>
      </c>
      <c r="J7" s="6" t="s">
        <v>30</v>
      </c>
      <c r="K7" s="6" t="s">
        <v>30</v>
      </c>
      <c r="L7" s="7"/>
      <c r="M7" s="6" t="s">
        <v>30</v>
      </c>
      <c r="N7" s="6" t="s">
        <v>30</v>
      </c>
      <c r="O7" s="6" t="s">
        <v>30</v>
      </c>
      <c r="P7" s="6" t="s">
        <v>30</v>
      </c>
      <c r="Q7" s="6" t="s">
        <v>30</v>
      </c>
      <c r="R7" s="6" t="s">
        <v>30</v>
      </c>
      <c r="S7" s="7"/>
      <c r="T7" s="6" t="s">
        <v>30</v>
      </c>
      <c r="U7" s="6" t="s">
        <v>30</v>
      </c>
      <c r="V7" s="6" t="s">
        <v>30</v>
      </c>
      <c r="W7" s="6" t="s">
        <v>30</v>
      </c>
      <c r="X7" s="6" t="s">
        <v>30</v>
      </c>
      <c r="Y7" s="6" t="s">
        <v>30</v>
      </c>
      <c r="Z7" s="7"/>
      <c r="AA7" s="6" t="s">
        <v>30</v>
      </c>
      <c r="AB7" s="6" t="s">
        <v>30</v>
      </c>
      <c r="AC7" s="6" t="s">
        <v>30</v>
      </c>
      <c r="AD7" s="6" t="s">
        <v>30</v>
      </c>
      <c r="AE7" s="6" t="s">
        <v>30</v>
      </c>
      <c r="AF7" s="6" t="s">
        <v>30</v>
      </c>
      <c r="AG7" s="7"/>
      <c r="AH7" s="6" t="s">
        <v>30</v>
      </c>
      <c r="AI7" s="6" t="s">
        <v>30</v>
      </c>
      <c r="AJ7" s="6" t="s">
        <v>30</v>
      </c>
      <c r="AK7" s="6">
        <v>31</v>
      </c>
      <c r="AL7" s="8">
        <f t="shared" ref="AL7:AL15" si="0">COUNTIF(F7:AJ7, "p" )</f>
        <v>27</v>
      </c>
      <c r="AM7" s="8">
        <f t="shared" ref="AM7:AM15" si="1">COUNTIF(F7:AJ7, "A" )</f>
        <v>0</v>
      </c>
      <c r="AN7" s="8">
        <f t="shared" ref="AN7:AN15" si="2">COUNTIF(F7:AJ7, "L" )</f>
        <v>0</v>
      </c>
      <c r="AO7" s="6">
        <f t="shared" ref="AO7:AO15" si="3">AT8</f>
        <v>0</v>
      </c>
      <c r="AP7" s="9">
        <f t="shared" ref="AP7:AP15" si="4">(AL7/AK7)*100</f>
        <v>87.096774193548384</v>
      </c>
      <c r="AQ7" s="10"/>
      <c r="AR7" s="10"/>
      <c r="AS7" s="10"/>
    </row>
    <row r="8" spans="3:45" ht="15.75" x14ac:dyDescent="0.25">
      <c r="C8" s="6">
        <v>3</v>
      </c>
      <c r="D8" s="6" t="s">
        <v>12</v>
      </c>
      <c r="E8" s="6" t="s">
        <v>22</v>
      </c>
      <c r="F8" s="6" t="s">
        <v>30</v>
      </c>
      <c r="G8" s="6" t="s">
        <v>30</v>
      </c>
      <c r="H8" s="6" t="s">
        <v>30</v>
      </c>
      <c r="I8" s="6" t="s">
        <v>30</v>
      </c>
      <c r="J8" s="6" t="s">
        <v>30</v>
      </c>
      <c r="K8" s="6" t="s">
        <v>30</v>
      </c>
      <c r="L8" s="7"/>
      <c r="M8" s="6" t="s">
        <v>30</v>
      </c>
      <c r="N8" s="6" t="s">
        <v>30</v>
      </c>
      <c r="O8" s="6" t="s">
        <v>30</v>
      </c>
      <c r="P8" s="6" t="s">
        <v>30</v>
      </c>
      <c r="Q8" s="6" t="s">
        <v>32</v>
      </c>
      <c r="R8" s="6" t="s">
        <v>33</v>
      </c>
      <c r="S8" s="7"/>
      <c r="T8" s="6" t="s">
        <v>30</v>
      </c>
      <c r="U8" s="6" t="s">
        <v>30</v>
      </c>
      <c r="V8" s="6" t="s">
        <v>30</v>
      </c>
      <c r="W8" s="6" t="s">
        <v>30</v>
      </c>
      <c r="X8" s="6" t="s">
        <v>30</v>
      </c>
      <c r="Y8" s="6" t="s">
        <v>30</v>
      </c>
      <c r="Z8" s="7"/>
      <c r="AA8" s="6" t="s">
        <v>30</v>
      </c>
      <c r="AB8" s="6" t="s">
        <v>32</v>
      </c>
      <c r="AC8" s="6" t="s">
        <v>33</v>
      </c>
      <c r="AD8" s="6" t="s">
        <v>30</v>
      </c>
      <c r="AE8" s="6" t="s">
        <v>30</v>
      </c>
      <c r="AF8" s="6" t="s">
        <v>30</v>
      </c>
      <c r="AG8" s="7"/>
      <c r="AH8" s="6" t="s">
        <v>30</v>
      </c>
      <c r="AI8" s="6" t="s">
        <v>30</v>
      </c>
      <c r="AJ8" s="6" t="s">
        <v>30</v>
      </c>
      <c r="AK8" s="6">
        <v>31</v>
      </c>
      <c r="AL8" s="8">
        <f t="shared" si="0"/>
        <v>23</v>
      </c>
      <c r="AM8" s="8">
        <f t="shared" si="1"/>
        <v>2</v>
      </c>
      <c r="AN8" s="8">
        <f t="shared" si="2"/>
        <v>2</v>
      </c>
      <c r="AO8" s="6">
        <f t="shared" si="3"/>
        <v>0</v>
      </c>
      <c r="AP8" s="9">
        <f t="shared" si="4"/>
        <v>74.193548387096769</v>
      </c>
      <c r="AQ8" s="10"/>
      <c r="AR8" s="10"/>
      <c r="AS8" s="10"/>
    </row>
    <row r="9" spans="3:45" ht="15.75" x14ac:dyDescent="0.25">
      <c r="C9" s="6">
        <v>4</v>
      </c>
      <c r="D9" s="6" t="s">
        <v>13</v>
      </c>
      <c r="E9" s="6" t="s">
        <v>23</v>
      </c>
      <c r="F9" s="6" t="s">
        <v>30</v>
      </c>
      <c r="G9" s="6" t="s">
        <v>30</v>
      </c>
      <c r="H9" s="6" t="s">
        <v>30</v>
      </c>
      <c r="I9" s="6" t="s">
        <v>30</v>
      </c>
      <c r="J9" s="6" t="s">
        <v>30</v>
      </c>
      <c r="K9" s="6" t="s">
        <v>32</v>
      </c>
      <c r="L9" s="7"/>
      <c r="M9" s="6" t="s">
        <v>30</v>
      </c>
      <c r="N9" s="6" t="s">
        <v>30</v>
      </c>
      <c r="O9" s="6" t="s">
        <v>30</v>
      </c>
      <c r="P9" s="6" t="s">
        <v>30</v>
      </c>
      <c r="Q9" s="6" t="s">
        <v>30</v>
      </c>
      <c r="R9" s="6" t="s">
        <v>30</v>
      </c>
      <c r="S9" s="7"/>
      <c r="T9" s="6" t="s">
        <v>30</v>
      </c>
      <c r="U9" s="6" t="s">
        <v>30</v>
      </c>
      <c r="V9" s="6" t="s">
        <v>30</v>
      </c>
      <c r="W9" s="6" t="s">
        <v>30</v>
      </c>
      <c r="X9" s="6" t="s">
        <v>30</v>
      </c>
      <c r="Y9" s="6" t="s">
        <v>33</v>
      </c>
      <c r="Z9" s="7"/>
      <c r="AA9" s="6" t="s">
        <v>30</v>
      </c>
      <c r="AB9" s="6" t="s">
        <v>30</v>
      </c>
      <c r="AC9" s="6" t="s">
        <v>30</v>
      </c>
      <c r="AD9" s="6" t="s">
        <v>30</v>
      </c>
      <c r="AE9" s="6" t="s">
        <v>30</v>
      </c>
      <c r="AF9" s="6" t="s">
        <v>30</v>
      </c>
      <c r="AG9" s="7"/>
      <c r="AH9" s="6" t="s">
        <v>30</v>
      </c>
      <c r="AI9" s="6" t="s">
        <v>30</v>
      </c>
      <c r="AJ9" s="6" t="s">
        <v>30</v>
      </c>
      <c r="AK9" s="6">
        <v>31</v>
      </c>
      <c r="AL9" s="8">
        <f t="shared" si="0"/>
        <v>25</v>
      </c>
      <c r="AM9" s="8">
        <f t="shared" si="1"/>
        <v>1</v>
      </c>
      <c r="AN9" s="8">
        <f t="shared" si="2"/>
        <v>1</v>
      </c>
      <c r="AO9" s="6">
        <f t="shared" si="3"/>
        <v>0</v>
      </c>
      <c r="AP9" s="9">
        <f t="shared" si="4"/>
        <v>80.645161290322577</v>
      </c>
      <c r="AQ9" s="10"/>
      <c r="AR9" s="10"/>
      <c r="AS9" s="10"/>
    </row>
    <row r="10" spans="3:45" ht="15.75" x14ac:dyDescent="0.25">
      <c r="C10" s="6">
        <v>5</v>
      </c>
      <c r="D10" s="6" t="s">
        <v>14</v>
      </c>
      <c r="E10" s="6" t="s">
        <v>24</v>
      </c>
      <c r="F10" s="6" t="s">
        <v>30</v>
      </c>
      <c r="G10" s="6" t="s">
        <v>32</v>
      </c>
      <c r="H10" s="6" t="s">
        <v>30</v>
      </c>
      <c r="I10" s="6" t="s">
        <v>30</v>
      </c>
      <c r="J10" s="6" t="s">
        <v>30</v>
      </c>
      <c r="K10" s="6" t="s">
        <v>30</v>
      </c>
      <c r="L10" s="7"/>
      <c r="M10" s="6" t="s">
        <v>30</v>
      </c>
      <c r="N10" s="6" t="s">
        <v>30</v>
      </c>
      <c r="O10" s="6" t="s">
        <v>32</v>
      </c>
      <c r="P10" s="6" t="s">
        <v>30</v>
      </c>
      <c r="Q10" s="6" t="s">
        <v>32</v>
      </c>
      <c r="R10" s="6" t="s">
        <v>30</v>
      </c>
      <c r="S10" s="7"/>
      <c r="T10" s="6" t="s">
        <v>30</v>
      </c>
      <c r="U10" s="6" t="s">
        <v>30</v>
      </c>
      <c r="V10" s="6" t="s">
        <v>30</v>
      </c>
      <c r="W10" s="6" t="s">
        <v>30</v>
      </c>
      <c r="X10" s="6" t="s">
        <v>30</v>
      </c>
      <c r="Y10" s="6" t="s">
        <v>30</v>
      </c>
      <c r="Z10" s="7"/>
      <c r="AA10" s="6" t="s">
        <v>30</v>
      </c>
      <c r="AB10" s="6" t="s">
        <v>30</v>
      </c>
      <c r="AC10" s="6" t="s">
        <v>30</v>
      </c>
      <c r="AD10" s="6" t="s">
        <v>30</v>
      </c>
      <c r="AE10" s="6" t="s">
        <v>30</v>
      </c>
      <c r="AF10" s="6" t="s">
        <v>30</v>
      </c>
      <c r="AG10" s="7"/>
      <c r="AH10" s="6" t="s">
        <v>30</v>
      </c>
      <c r="AI10" s="6" t="s">
        <v>30</v>
      </c>
      <c r="AJ10" s="6" t="s">
        <v>30</v>
      </c>
      <c r="AK10" s="6">
        <v>31</v>
      </c>
      <c r="AL10" s="8">
        <f t="shared" si="0"/>
        <v>24</v>
      </c>
      <c r="AM10" s="8">
        <f t="shared" si="1"/>
        <v>3</v>
      </c>
      <c r="AN10" s="8">
        <f t="shared" si="2"/>
        <v>0</v>
      </c>
      <c r="AO10" s="6">
        <f t="shared" si="3"/>
        <v>0</v>
      </c>
      <c r="AP10" s="9">
        <f t="shared" si="4"/>
        <v>77.41935483870968</v>
      </c>
      <c r="AQ10" s="10"/>
      <c r="AR10" s="10"/>
      <c r="AS10" s="10"/>
    </row>
    <row r="11" spans="3:45" ht="15.75" x14ac:dyDescent="0.25">
      <c r="C11" s="6">
        <v>6</v>
      </c>
      <c r="D11" s="6" t="s">
        <v>15</v>
      </c>
      <c r="E11" s="6" t="s">
        <v>25</v>
      </c>
      <c r="F11" s="6" t="s">
        <v>30</v>
      </c>
      <c r="G11" s="6" t="s">
        <v>32</v>
      </c>
      <c r="H11" s="6" t="s">
        <v>30</v>
      </c>
      <c r="I11" s="6" t="s">
        <v>30</v>
      </c>
      <c r="J11" s="6" t="s">
        <v>30</v>
      </c>
      <c r="K11" s="6" t="s">
        <v>30</v>
      </c>
      <c r="L11" s="7"/>
      <c r="M11" s="6" t="s">
        <v>30</v>
      </c>
      <c r="N11" s="6" t="s">
        <v>30</v>
      </c>
      <c r="O11" s="6" t="s">
        <v>30</v>
      </c>
      <c r="P11" s="6" t="s">
        <v>30</v>
      </c>
      <c r="Q11" s="6" t="s">
        <v>30</v>
      </c>
      <c r="R11" s="6" t="s">
        <v>30</v>
      </c>
      <c r="S11" s="7"/>
      <c r="T11" s="6" t="s">
        <v>30</v>
      </c>
      <c r="U11" s="6" t="s">
        <v>33</v>
      </c>
      <c r="V11" s="6" t="s">
        <v>30</v>
      </c>
      <c r="W11" s="6" t="s">
        <v>30</v>
      </c>
      <c r="X11" s="6" t="s">
        <v>30</v>
      </c>
      <c r="Y11" s="6" t="s">
        <v>30</v>
      </c>
      <c r="Z11" s="7"/>
      <c r="AA11" s="6" t="s">
        <v>32</v>
      </c>
      <c r="AB11" s="6" t="s">
        <v>30</v>
      </c>
      <c r="AC11" s="6" t="s">
        <v>30</v>
      </c>
      <c r="AD11" s="6" t="s">
        <v>30</v>
      </c>
      <c r="AE11" s="6" t="s">
        <v>30</v>
      </c>
      <c r="AF11" s="6" t="s">
        <v>30</v>
      </c>
      <c r="AG11" s="7"/>
      <c r="AH11" s="6" t="s">
        <v>30</v>
      </c>
      <c r="AI11" s="6" t="s">
        <v>30</v>
      </c>
      <c r="AJ11" s="6" t="s">
        <v>30</v>
      </c>
      <c r="AK11" s="6">
        <v>31</v>
      </c>
      <c r="AL11" s="8">
        <f t="shared" si="0"/>
        <v>24</v>
      </c>
      <c r="AM11" s="8">
        <f t="shared" si="1"/>
        <v>2</v>
      </c>
      <c r="AN11" s="8">
        <f t="shared" si="2"/>
        <v>1</v>
      </c>
      <c r="AO11" s="6">
        <f t="shared" si="3"/>
        <v>0</v>
      </c>
      <c r="AP11" s="9">
        <f t="shared" si="4"/>
        <v>77.41935483870968</v>
      </c>
      <c r="AQ11" s="10"/>
      <c r="AR11" s="10"/>
      <c r="AS11" s="10"/>
    </row>
    <row r="12" spans="3:45" ht="15.75" x14ac:dyDescent="0.25">
      <c r="C12" s="6">
        <v>7</v>
      </c>
      <c r="D12" s="6" t="s">
        <v>16</v>
      </c>
      <c r="E12" s="6" t="s">
        <v>26</v>
      </c>
      <c r="F12" s="6" t="s">
        <v>30</v>
      </c>
      <c r="G12" s="6" t="s">
        <v>30</v>
      </c>
      <c r="H12" s="6" t="s">
        <v>32</v>
      </c>
      <c r="I12" s="6" t="s">
        <v>30</v>
      </c>
      <c r="J12" s="6" t="s">
        <v>30</v>
      </c>
      <c r="K12" s="6" t="s">
        <v>30</v>
      </c>
      <c r="L12" s="7"/>
      <c r="M12" s="6" t="s">
        <v>30</v>
      </c>
      <c r="N12" s="6" t="s">
        <v>30</v>
      </c>
      <c r="O12" s="6" t="s">
        <v>30</v>
      </c>
      <c r="P12" s="6" t="s">
        <v>30</v>
      </c>
      <c r="Q12" s="6" t="s">
        <v>30</v>
      </c>
      <c r="R12" s="6" t="s">
        <v>30</v>
      </c>
      <c r="S12" s="7"/>
      <c r="T12" s="6" t="s">
        <v>32</v>
      </c>
      <c r="U12" s="6" t="s">
        <v>30</v>
      </c>
      <c r="V12" s="6" t="s">
        <v>30</v>
      </c>
      <c r="W12" s="6" t="s">
        <v>30</v>
      </c>
      <c r="X12" s="6" t="s">
        <v>30</v>
      </c>
      <c r="Y12" s="6" t="s">
        <v>30</v>
      </c>
      <c r="Z12" s="7"/>
      <c r="AA12" s="6" t="s">
        <v>30</v>
      </c>
      <c r="AB12" s="6" t="s">
        <v>30</v>
      </c>
      <c r="AC12" s="6" t="s">
        <v>30</v>
      </c>
      <c r="AD12" s="6" t="s">
        <v>30</v>
      </c>
      <c r="AE12" s="6" t="s">
        <v>30</v>
      </c>
      <c r="AF12" s="6" t="s">
        <v>30</v>
      </c>
      <c r="AG12" s="7"/>
      <c r="AH12" s="6" t="s">
        <v>30</v>
      </c>
      <c r="AI12" s="6" t="s">
        <v>30</v>
      </c>
      <c r="AJ12" s="6" t="s">
        <v>30</v>
      </c>
      <c r="AK12" s="6">
        <v>31</v>
      </c>
      <c r="AL12" s="8">
        <f t="shared" si="0"/>
        <v>25</v>
      </c>
      <c r="AM12" s="8">
        <f t="shared" si="1"/>
        <v>2</v>
      </c>
      <c r="AN12" s="8">
        <f t="shared" si="2"/>
        <v>0</v>
      </c>
      <c r="AO12" s="6">
        <f t="shared" si="3"/>
        <v>0</v>
      </c>
      <c r="AP12" s="9">
        <f t="shared" si="4"/>
        <v>80.645161290322577</v>
      </c>
      <c r="AQ12" s="10"/>
      <c r="AR12" s="10"/>
      <c r="AS12" s="10"/>
    </row>
    <row r="13" spans="3:45" ht="15.75" x14ac:dyDescent="0.25">
      <c r="C13" s="6">
        <v>8</v>
      </c>
      <c r="D13" s="6" t="s">
        <v>17</v>
      </c>
      <c r="E13" s="6" t="s">
        <v>27</v>
      </c>
      <c r="F13" s="6" t="s">
        <v>30</v>
      </c>
      <c r="G13" s="6" t="s">
        <v>30</v>
      </c>
      <c r="H13" s="6" t="s">
        <v>30</v>
      </c>
      <c r="I13" s="6" t="s">
        <v>32</v>
      </c>
      <c r="J13" s="6" t="s">
        <v>30</v>
      </c>
      <c r="K13" s="6" t="s">
        <v>30</v>
      </c>
      <c r="L13" s="7"/>
      <c r="M13" s="6" t="s">
        <v>30</v>
      </c>
      <c r="N13" s="6" t="s">
        <v>30</v>
      </c>
      <c r="O13" s="6" t="s">
        <v>30</v>
      </c>
      <c r="P13" s="6" t="s">
        <v>30</v>
      </c>
      <c r="Q13" s="6" t="s">
        <v>32</v>
      </c>
      <c r="R13" s="6" t="s">
        <v>30</v>
      </c>
      <c r="S13" s="7"/>
      <c r="T13" s="6" t="s">
        <v>30</v>
      </c>
      <c r="U13" s="6" t="s">
        <v>33</v>
      </c>
      <c r="V13" s="6" t="s">
        <v>30</v>
      </c>
      <c r="W13" s="6" t="s">
        <v>30</v>
      </c>
      <c r="X13" s="6" t="s">
        <v>30</v>
      </c>
      <c r="Y13" s="6" t="s">
        <v>30</v>
      </c>
      <c r="Z13" s="7"/>
      <c r="AA13" s="6" t="s">
        <v>30</v>
      </c>
      <c r="AB13" s="6" t="s">
        <v>30</v>
      </c>
      <c r="AC13" s="6" t="s">
        <v>30</v>
      </c>
      <c r="AD13" s="6" t="s">
        <v>30</v>
      </c>
      <c r="AE13" s="6" t="s">
        <v>30</v>
      </c>
      <c r="AF13" s="6" t="s">
        <v>30</v>
      </c>
      <c r="AG13" s="7"/>
      <c r="AH13" s="6" t="s">
        <v>30</v>
      </c>
      <c r="AI13" s="6" t="s">
        <v>30</v>
      </c>
      <c r="AJ13" s="6" t="s">
        <v>30</v>
      </c>
      <c r="AK13" s="6">
        <v>31</v>
      </c>
      <c r="AL13" s="8">
        <f t="shared" si="0"/>
        <v>24</v>
      </c>
      <c r="AM13" s="8">
        <f t="shared" si="1"/>
        <v>2</v>
      </c>
      <c r="AN13" s="8">
        <f t="shared" si="2"/>
        <v>1</v>
      </c>
      <c r="AO13" s="6">
        <f t="shared" si="3"/>
        <v>0</v>
      </c>
      <c r="AP13" s="9">
        <f t="shared" si="4"/>
        <v>77.41935483870968</v>
      </c>
      <c r="AQ13" s="10"/>
      <c r="AR13" s="10"/>
      <c r="AS13" s="10"/>
    </row>
    <row r="14" spans="3:45" ht="15.75" x14ac:dyDescent="0.25">
      <c r="C14" s="6">
        <v>9</v>
      </c>
      <c r="D14" s="6" t="s">
        <v>18</v>
      </c>
      <c r="E14" s="6" t="s">
        <v>28</v>
      </c>
      <c r="F14" s="6" t="s">
        <v>30</v>
      </c>
      <c r="G14" s="6" t="s">
        <v>30</v>
      </c>
      <c r="H14" s="6" t="s">
        <v>30</v>
      </c>
      <c r="I14" s="6" t="s">
        <v>30</v>
      </c>
      <c r="J14" s="6" t="s">
        <v>30</v>
      </c>
      <c r="K14" s="6" t="s">
        <v>30</v>
      </c>
      <c r="L14" s="7"/>
      <c r="M14" s="6" t="s">
        <v>30</v>
      </c>
      <c r="N14" s="6" t="s">
        <v>30</v>
      </c>
      <c r="O14" s="6" t="s">
        <v>30</v>
      </c>
      <c r="P14" s="6" t="s">
        <v>30</v>
      </c>
      <c r="Q14" s="6" t="s">
        <v>32</v>
      </c>
      <c r="R14" s="6" t="s">
        <v>30</v>
      </c>
      <c r="S14" s="7"/>
      <c r="T14" s="6" t="s">
        <v>30</v>
      </c>
      <c r="U14" s="6" t="s">
        <v>30</v>
      </c>
      <c r="V14" s="6" t="s">
        <v>30</v>
      </c>
      <c r="W14" s="6" t="s">
        <v>30</v>
      </c>
      <c r="X14" s="6" t="s">
        <v>30</v>
      </c>
      <c r="Y14" s="6" t="s">
        <v>30</v>
      </c>
      <c r="Z14" s="7"/>
      <c r="AA14" s="6" t="s">
        <v>30</v>
      </c>
      <c r="AB14" s="6" t="s">
        <v>30</v>
      </c>
      <c r="AC14" s="6" t="s">
        <v>33</v>
      </c>
      <c r="AD14" s="6" t="s">
        <v>30</v>
      </c>
      <c r="AE14" s="6" t="s">
        <v>30</v>
      </c>
      <c r="AF14" s="6" t="s">
        <v>30</v>
      </c>
      <c r="AG14" s="7"/>
      <c r="AH14" s="6" t="s">
        <v>30</v>
      </c>
      <c r="AI14" s="6" t="s">
        <v>30</v>
      </c>
      <c r="AJ14" s="6" t="s">
        <v>30</v>
      </c>
      <c r="AK14" s="6">
        <v>31</v>
      </c>
      <c r="AL14" s="8">
        <f t="shared" si="0"/>
        <v>25</v>
      </c>
      <c r="AM14" s="8">
        <f t="shared" si="1"/>
        <v>1</v>
      </c>
      <c r="AN14" s="8">
        <f t="shared" si="2"/>
        <v>1</v>
      </c>
      <c r="AO14" s="6">
        <f t="shared" si="3"/>
        <v>0</v>
      </c>
      <c r="AP14" s="9">
        <f t="shared" si="4"/>
        <v>80.645161290322577</v>
      </c>
      <c r="AQ14" s="10"/>
      <c r="AR14" s="10"/>
      <c r="AS14" s="10"/>
    </row>
    <row r="15" spans="3:45" ht="15.75" x14ac:dyDescent="0.25">
      <c r="C15" s="6">
        <v>10</v>
      </c>
      <c r="D15" s="6" t="s">
        <v>19</v>
      </c>
      <c r="E15" s="6" t="s">
        <v>29</v>
      </c>
      <c r="F15" s="6" t="s">
        <v>30</v>
      </c>
      <c r="G15" s="6" t="s">
        <v>30</v>
      </c>
      <c r="H15" s="6" t="s">
        <v>30</v>
      </c>
      <c r="I15" s="6" t="s">
        <v>30</v>
      </c>
      <c r="J15" s="6" t="s">
        <v>30</v>
      </c>
      <c r="K15" s="6" t="s">
        <v>30</v>
      </c>
      <c r="L15" s="7"/>
      <c r="M15" s="6" t="s">
        <v>30</v>
      </c>
      <c r="N15" s="6" t="s">
        <v>30</v>
      </c>
      <c r="O15" s="6" t="s">
        <v>30</v>
      </c>
      <c r="P15" s="6" t="s">
        <v>30</v>
      </c>
      <c r="Q15" s="6" t="s">
        <v>30</v>
      </c>
      <c r="R15" s="6" t="s">
        <v>30</v>
      </c>
      <c r="S15" s="7"/>
      <c r="T15" s="6" t="s">
        <v>30</v>
      </c>
      <c r="U15" s="6" t="s">
        <v>30</v>
      </c>
      <c r="V15" s="6" t="s">
        <v>30</v>
      </c>
      <c r="W15" s="6" t="s">
        <v>30</v>
      </c>
      <c r="X15" s="6" t="s">
        <v>30</v>
      </c>
      <c r="Y15" s="6" t="s">
        <v>30</v>
      </c>
      <c r="Z15" s="7"/>
      <c r="AA15" s="6" t="s">
        <v>30</v>
      </c>
      <c r="AB15" s="6" t="s">
        <v>30</v>
      </c>
      <c r="AC15" s="6" t="s">
        <v>30</v>
      </c>
      <c r="AD15" s="6" t="s">
        <v>30</v>
      </c>
      <c r="AE15" s="6" t="s">
        <v>30</v>
      </c>
      <c r="AF15" s="6" t="s">
        <v>30</v>
      </c>
      <c r="AG15" s="7"/>
      <c r="AH15" s="6" t="s">
        <v>30</v>
      </c>
      <c r="AI15" s="6" t="s">
        <v>30</v>
      </c>
      <c r="AJ15" s="6" t="s">
        <v>30</v>
      </c>
      <c r="AK15" s="6">
        <v>31</v>
      </c>
      <c r="AL15" s="8">
        <f t="shared" si="0"/>
        <v>27</v>
      </c>
      <c r="AM15" s="8">
        <f t="shared" si="1"/>
        <v>0</v>
      </c>
      <c r="AN15" s="8">
        <f t="shared" si="2"/>
        <v>0</v>
      </c>
      <c r="AO15" s="6">
        <f t="shared" si="3"/>
        <v>0</v>
      </c>
      <c r="AP15" s="9">
        <f t="shared" si="4"/>
        <v>87.096774193548384</v>
      </c>
      <c r="AQ15" s="10"/>
      <c r="AR15" s="10"/>
      <c r="AS15" s="10"/>
    </row>
    <row r="20" spans="41:41" x14ac:dyDescent="0.25">
      <c r="AO20" s="2"/>
    </row>
  </sheetData>
  <mergeCells count="12">
    <mergeCell ref="AQ9:AS9"/>
    <mergeCell ref="AQ10:AS10"/>
    <mergeCell ref="AQ5:AS5"/>
    <mergeCell ref="AQ4:AS4"/>
    <mergeCell ref="AQ6:AS6"/>
    <mergeCell ref="AQ7:AS7"/>
    <mergeCell ref="AQ8:AS8"/>
    <mergeCell ref="AQ11:AS11"/>
    <mergeCell ref="AQ12:AS12"/>
    <mergeCell ref="AQ13:AS13"/>
    <mergeCell ref="AQ14:AS14"/>
    <mergeCell ref="AQ15:AS15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15</dc:creator>
  <cp:lastModifiedBy>Administrator</cp:lastModifiedBy>
  <dcterms:created xsi:type="dcterms:W3CDTF">2025-10-29T06:21:22Z</dcterms:created>
  <dcterms:modified xsi:type="dcterms:W3CDTF">2025-10-18T09:34:38Z</dcterms:modified>
</cp:coreProperties>
</file>