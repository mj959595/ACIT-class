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15\Desktop\"/>
    </mc:Choice>
  </mc:AlternateContent>
  <xr:revisionPtr revIDLastSave="0" documentId="8_{5308E10D-9242-4EBB-942B-1FCCDD5ABD92}" xr6:coauthVersionLast="47" xr6:coauthVersionMax="47" xr10:uidLastSave="{00000000-0000-0000-0000-000000000000}"/>
  <bookViews>
    <workbookView xWindow="-108" yWindow="-108" windowWidth="23256" windowHeight="12456" xr2:uid="{83F9831C-6E0B-483C-9A1A-A88B5BB21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7" i="1" l="1"/>
  <c r="AP8" i="1"/>
  <c r="AP9" i="1"/>
  <c r="AP10" i="1"/>
  <c r="AP11" i="1"/>
  <c r="AP12" i="1"/>
  <c r="AP13" i="1"/>
  <c r="AP14" i="1"/>
  <c r="AP15" i="1"/>
  <c r="AP6" i="1"/>
  <c r="AN7" i="1"/>
  <c r="AN8" i="1"/>
  <c r="AN9" i="1"/>
  <c r="AN10" i="1"/>
  <c r="AN11" i="1"/>
  <c r="AN12" i="1"/>
  <c r="AN13" i="1"/>
  <c r="AN14" i="1"/>
  <c r="AN15" i="1"/>
  <c r="AN6" i="1"/>
  <c r="AM6" i="1"/>
  <c r="AM7" i="1"/>
  <c r="AM8" i="1"/>
  <c r="AM9" i="1"/>
  <c r="AM10" i="1"/>
  <c r="AM11" i="1"/>
  <c r="AM12" i="1"/>
  <c r="AM13" i="1"/>
  <c r="AM14" i="1"/>
  <c r="AM15" i="1"/>
  <c r="AL6" i="1"/>
  <c r="AL7" i="1"/>
  <c r="AL8" i="1"/>
  <c r="AL9" i="1"/>
  <c r="AL10" i="1"/>
  <c r="AL11" i="1"/>
  <c r="AL12" i="1"/>
  <c r="AL13" i="1"/>
  <c r="AL14" i="1"/>
  <c r="AL15" i="1"/>
</calcChain>
</file>

<file path=xl/sharedStrings.xml><?xml version="1.0" encoding="utf-8"?>
<sst xmlns="http://schemas.openxmlformats.org/spreadsheetml/2006/main" count="331" uniqueCount="37">
  <si>
    <t>S#</t>
  </si>
  <si>
    <t>Name</t>
  </si>
  <si>
    <t>Reg#</t>
  </si>
  <si>
    <t>Mon</t>
  </si>
  <si>
    <t>Tue</t>
  </si>
  <si>
    <t>Wed</t>
  </si>
  <si>
    <t>Thu</t>
  </si>
  <si>
    <t>Fri</t>
  </si>
  <si>
    <t>Sat</t>
  </si>
  <si>
    <t>Sun</t>
  </si>
  <si>
    <t>W.D</t>
  </si>
  <si>
    <t>P</t>
  </si>
  <si>
    <t>A</t>
  </si>
  <si>
    <t>L</t>
  </si>
  <si>
    <t>Remarks</t>
  </si>
  <si>
    <t>%Age</t>
  </si>
  <si>
    <t>RG-001</t>
  </si>
  <si>
    <t>RG-002</t>
  </si>
  <si>
    <t>RG-003</t>
  </si>
  <si>
    <t>RG-004</t>
  </si>
  <si>
    <t>RG-005</t>
  </si>
  <si>
    <t>RG-006</t>
  </si>
  <si>
    <t>RG-007</t>
  </si>
  <si>
    <t>RG-008</t>
  </si>
  <si>
    <t>RG-009</t>
  </si>
  <si>
    <t>RG-010</t>
  </si>
  <si>
    <t>Eibad Kakar</t>
  </si>
  <si>
    <t>Adil Khan</t>
  </si>
  <si>
    <t>Nadeem Nasar</t>
  </si>
  <si>
    <t>Firas Mandokhail</t>
  </si>
  <si>
    <t>Huzaifa Lehri</t>
  </si>
  <si>
    <t>Ilyas Kakar</t>
  </si>
  <si>
    <t>Assak Assakzai</t>
  </si>
  <si>
    <t>Zain Bangulzai</t>
  </si>
  <si>
    <t xml:space="preserve">Eligibility </t>
  </si>
  <si>
    <t>Mishaim Nadeem</t>
  </si>
  <si>
    <t>Zoya Baloch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</si>
</sst>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6E5D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685-AE0C-474E-A7C4-4F75585AFE8B}">
  <dimension ref="C4:AQ19"/>
  <sheetViews>
    <sheetView tabSelected="1" topLeftCell="T4" workbookViewId="0">
      <selection activeCell="L4" sqref="L4:L15"/>
    </sheetView>
  </sheetViews>
  <sheetFormatPr defaultRowHeight="14.4" x14ac:dyDescent="0.3"/>
  <cols>
    <col min="3" max="3" width="6.6640625" customWidth="1"/>
    <col min="4" max="4" width="7.44140625" customWidth="1"/>
    <col min="5" max="5" width="17.77734375" customWidth="1"/>
    <col min="6" max="36" width="6.77734375" customWidth="1"/>
    <col min="37" max="40" width="8.77734375" customWidth="1"/>
    <col min="41" max="42" width="9.77734375" customWidth="1"/>
    <col min="43" max="43" width="30" customWidth="1"/>
    <col min="44" max="44" width="9.77734375" customWidth="1"/>
  </cols>
  <sheetData>
    <row r="4" spans="3:43" ht="15.6" x14ac:dyDescent="0.3">
      <c r="C4" s="1" t="s">
        <v>0</v>
      </c>
      <c r="D4" s="1" t="s">
        <v>2</v>
      </c>
      <c r="E4" s="1" t="s">
        <v>1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7" t="s">
        <v>9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3</v>
      </c>
      <c r="U4" s="1" t="s">
        <v>4</v>
      </c>
      <c r="V4" s="1" t="s">
        <v>5</v>
      </c>
      <c r="W4" s="1" t="s">
        <v>6</v>
      </c>
      <c r="X4" s="1" t="s">
        <v>7</v>
      </c>
      <c r="Y4" s="1" t="s">
        <v>8</v>
      </c>
      <c r="Z4" s="7" t="s">
        <v>9</v>
      </c>
      <c r="AA4" s="1" t="s">
        <v>3</v>
      </c>
      <c r="AB4" s="1" t="s">
        <v>4</v>
      </c>
      <c r="AC4" s="1" t="s">
        <v>5</v>
      </c>
      <c r="AD4" s="1" t="s">
        <v>6</v>
      </c>
      <c r="AE4" s="1" t="s">
        <v>7</v>
      </c>
      <c r="AF4" s="1" t="s">
        <v>8</v>
      </c>
      <c r="AG4" s="7" t="s">
        <v>9</v>
      </c>
      <c r="AH4" s="1" t="s">
        <v>3</v>
      </c>
      <c r="AI4" s="1" t="s">
        <v>4</v>
      </c>
      <c r="AJ4" s="1" t="s">
        <v>5</v>
      </c>
      <c r="AK4" s="1" t="s">
        <v>10</v>
      </c>
      <c r="AL4" s="1" t="s">
        <v>11</v>
      </c>
      <c r="AM4" s="1" t="s">
        <v>12</v>
      </c>
      <c r="AN4" s="1" t="s">
        <v>13</v>
      </c>
      <c r="AO4" s="1" t="s">
        <v>14</v>
      </c>
      <c r="AP4" s="1" t="s">
        <v>15</v>
      </c>
      <c r="AQ4" s="1" t="s">
        <v>34</v>
      </c>
    </row>
    <row r="5" spans="3:43" ht="15.6" x14ac:dyDescent="0.3">
      <c r="C5" s="1"/>
      <c r="D5" s="1"/>
      <c r="E5" s="1"/>
      <c r="F5" s="1">
        <v>1</v>
      </c>
      <c r="G5" s="1">
        <v>2</v>
      </c>
      <c r="H5" s="1">
        <v>3</v>
      </c>
      <c r="I5" s="1">
        <v>4</v>
      </c>
      <c r="J5" s="1">
        <v>5</v>
      </c>
      <c r="K5" s="1">
        <v>6</v>
      </c>
      <c r="L5" s="7">
        <v>7</v>
      </c>
      <c r="M5" s="1">
        <v>8</v>
      </c>
      <c r="N5" s="1">
        <v>9</v>
      </c>
      <c r="O5" s="1">
        <v>10</v>
      </c>
      <c r="P5" s="1">
        <v>11</v>
      </c>
      <c r="Q5" s="1">
        <v>12</v>
      </c>
      <c r="R5" s="1">
        <v>13</v>
      </c>
      <c r="S5" s="7">
        <v>14</v>
      </c>
      <c r="T5" s="1">
        <v>15</v>
      </c>
      <c r="U5" s="1">
        <v>16</v>
      </c>
      <c r="V5" s="1">
        <v>17</v>
      </c>
      <c r="W5" s="1">
        <v>18</v>
      </c>
      <c r="X5" s="1">
        <v>19</v>
      </c>
      <c r="Y5" s="1">
        <v>20</v>
      </c>
      <c r="Z5" s="7">
        <v>21</v>
      </c>
      <c r="AA5" s="1">
        <v>22</v>
      </c>
      <c r="AB5" s="1">
        <v>23</v>
      </c>
      <c r="AC5" s="1">
        <v>24</v>
      </c>
      <c r="AD5" s="1">
        <v>25</v>
      </c>
      <c r="AE5" s="1">
        <v>26</v>
      </c>
      <c r="AF5" s="1">
        <v>27</v>
      </c>
      <c r="AG5" s="7">
        <v>28</v>
      </c>
      <c r="AH5" s="1">
        <v>29</v>
      </c>
      <c r="AI5" s="1">
        <v>30</v>
      </c>
      <c r="AJ5" s="1">
        <v>31</v>
      </c>
      <c r="AK5" s="1"/>
      <c r="AL5" s="1"/>
      <c r="AM5" s="1"/>
      <c r="AN5" s="1"/>
      <c r="AO5" s="1"/>
      <c r="AP5" s="1"/>
      <c r="AQ5" s="1"/>
    </row>
    <row r="6" spans="3:43" ht="15.6" x14ac:dyDescent="0.3">
      <c r="C6" s="2">
        <v>1</v>
      </c>
      <c r="D6" s="2" t="s">
        <v>16</v>
      </c>
      <c r="E6" s="2" t="s">
        <v>26</v>
      </c>
      <c r="F6" s="3" t="s">
        <v>11</v>
      </c>
      <c r="G6" s="3" t="s">
        <v>11</v>
      </c>
      <c r="H6" s="3" t="s">
        <v>11</v>
      </c>
      <c r="I6" s="3" t="s">
        <v>12</v>
      </c>
      <c r="J6" s="3" t="s">
        <v>11</v>
      </c>
      <c r="K6" s="3" t="s">
        <v>13</v>
      </c>
      <c r="L6" s="6"/>
      <c r="M6" s="3" t="s">
        <v>11</v>
      </c>
      <c r="N6" s="3" t="s">
        <v>11</v>
      </c>
      <c r="O6" s="3" t="s">
        <v>12</v>
      </c>
      <c r="P6" s="3" t="s">
        <v>11</v>
      </c>
      <c r="Q6" s="3" t="s">
        <v>11</v>
      </c>
      <c r="R6" s="3" t="s">
        <v>13</v>
      </c>
      <c r="S6" s="6"/>
      <c r="T6" s="3" t="s">
        <v>11</v>
      </c>
      <c r="U6" s="3" t="s">
        <v>11</v>
      </c>
      <c r="V6" s="3" t="s">
        <v>13</v>
      </c>
      <c r="W6" s="3" t="s">
        <v>11</v>
      </c>
      <c r="X6" s="3" t="s">
        <v>12</v>
      </c>
      <c r="Y6" s="3" t="s">
        <v>11</v>
      </c>
      <c r="Z6" s="6"/>
      <c r="AA6" s="3" t="s">
        <v>11</v>
      </c>
      <c r="AB6" s="3" t="s">
        <v>12</v>
      </c>
      <c r="AC6" s="3" t="s">
        <v>11</v>
      </c>
      <c r="AD6" s="3" t="s">
        <v>11</v>
      </c>
      <c r="AE6" s="3" t="s">
        <v>11</v>
      </c>
      <c r="AF6" s="3" t="s">
        <v>12</v>
      </c>
      <c r="AG6" s="6"/>
      <c r="AH6" s="3" t="s">
        <v>11</v>
      </c>
      <c r="AI6" s="3" t="s">
        <v>12</v>
      </c>
      <c r="AJ6" s="3" t="s">
        <v>11</v>
      </c>
      <c r="AK6" s="4">
        <v>27</v>
      </c>
      <c r="AL6" s="4">
        <f>COUNTIF(F6:AJ6, "P")</f>
        <v>18</v>
      </c>
      <c r="AM6" s="4">
        <f>COUNTIF(F6:AJ6, "A")</f>
        <v>6</v>
      </c>
      <c r="AN6" s="4">
        <f>COUNTIF(F6:AJ6,"L")</f>
        <v>3</v>
      </c>
      <c r="AO6" s="2"/>
      <c r="AP6" s="5">
        <f>AL6/AK6*100</f>
        <v>66.666666666666657</v>
      </c>
      <c r="AQ6" s="2"/>
    </row>
    <row r="7" spans="3:43" ht="15.6" x14ac:dyDescent="0.3">
      <c r="C7" s="2">
        <v>2</v>
      </c>
      <c r="D7" s="2" t="s">
        <v>17</v>
      </c>
      <c r="E7" s="2" t="s">
        <v>28</v>
      </c>
      <c r="F7" s="3" t="s">
        <v>11</v>
      </c>
      <c r="G7" s="3" t="s">
        <v>12</v>
      </c>
      <c r="H7" s="3" t="s">
        <v>11</v>
      </c>
      <c r="I7" s="3" t="s">
        <v>11</v>
      </c>
      <c r="J7" s="3" t="s">
        <v>11</v>
      </c>
      <c r="K7" s="3" t="s">
        <v>11</v>
      </c>
      <c r="L7" s="6"/>
      <c r="M7" s="3" t="s">
        <v>12</v>
      </c>
      <c r="N7" s="3" t="s">
        <v>11</v>
      </c>
      <c r="O7" s="3" t="s">
        <v>12</v>
      </c>
      <c r="P7" s="3" t="s">
        <v>11</v>
      </c>
      <c r="Q7" s="3" t="s">
        <v>11</v>
      </c>
      <c r="R7" s="3" t="s">
        <v>13</v>
      </c>
      <c r="S7" s="6"/>
      <c r="T7" s="3" t="s">
        <v>11</v>
      </c>
      <c r="U7" s="3" t="s">
        <v>11</v>
      </c>
      <c r="V7" s="3" t="s">
        <v>12</v>
      </c>
      <c r="W7" s="3" t="s">
        <v>11</v>
      </c>
      <c r="X7" s="3" t="s">
        <v>12</v>
      </c>
      <c r="Y7" s="3" t="s">
        <v>11</v>
      </c>
      <c r="Z7" s="6"/>
      <c r="AA7" s="3" t="s">
        <v>12</v>
      </c>
      <c r="AB7" s="3" t="s">
        <v>13</v>
      </c>
      <c r="AC7" s="3" t="s">
        <v>11</v>
      </c>
      <c r="AD7" s="3" t="s">
        <v>11</v>
      </c>
      <c r="AE7" s="3" t="s">
        <v>12</v>
      </c>
      <c r="AF7" s="3" t="s">
        <v>11</v>
      </c>
      <c r="AG7" s="6"/>
      <c r="AH7" s="3" t="s">
        <v>11</v>
      </c>
      <c r="AI7" s="3" t="s">
        <v>12</v>
      </c>
      <c r="AJ7" s="3" t="s">
        <v>12</v>
      </c>
      <c r="AK7" s="4">
        <v>27</v>
      </c>
      <c r="AL7" s="4">
        <f t="shared" ref="AL7:AL15" si="0">COUNTIF(F7:AJ7, "P")</f>
        <v>16</v>
      </c>
      <c r="AM7" s="4">
        <f t="shared" ref="AM7:AM15" si="1">COUNTIF(F7:AJ7, "A")</f>
        <v>9</v>
      </c>
      <c r="AN7" s="4">
        <f t="shared" ref="AN7:AN15" si="2">COUNTIF(F7:AJ7,"L")</f>
        <v>2</v>
      </c>
      <c r="AO7" s="2"/>
      <c r="AP7" s="5">
        <f t="shared" ref="AP7:AP15" si="3">AL7/AK7*100</f>
        <v>59.259259259259252</v>
      </c>
      <c r="AQ7" s="2"/>
    </row>
    <row r="8" spans="3:43" ht="15.6" x14ac:dyDescent="0.3">
      <c r="C8" s="2">
        <v>3</v>
      </c>
      <c r="D8" s="2" t="s">
        <v>18</v>
      </c>
      <c r="E8" s="2" t="s">
        <v>27</v>
      </c>
      <c r="F8" s="3" t="s">
        <v>11</v>
      </c>
      <c r="G8" s="3" t="s">
        <v>11</v>
      </c>
      <c r="H8" s="3" t="s">
        <v>12</v>
      </c>
      <c r="I8" s="3" t="s">
        <v>12</v>
      </c>
      <c r="J8" s="3" t="s">
        <v>11</v>
      </c>
      <c r="K8" s="3" t="s">
        <v>12</v>
      </c>
      <c r="L8" s="6"/>
      <c r="M8" s="3" t="s">
        <v>11</v>
      </c>
      <c r="N8" s="3" t="s">
        <v>13</v>
      </c>
      <c r="O8" s="3" t="s">
        <v>11</v>
      </c>
      <c r="P8" s="3" t="s">
        <v>11</v>
      </c>
      <c r="Q8" s="3" t="s">
        <v>11</v>
      </c>
      <c r="R8" s="3" t="s">
        <v>12</v>
      </c>
      <c r="S8" s="6"/>
      <c r="T8" s="3" t="s">
        <v>11</v>
      </c>
      <c r="U8" s="3" t="s">
        <v>11</v>
      </c>
      <c r="V8" s="3" t="s">
        <v>13</v>
      </c>
      <c r="W8" s="3" t="s">
        <v>11</v>
      </c>
      <c r="X8" s="3" t="s">
        <v>11</v>
      </c>
      <c r="Y8" s="3" t="s">
        <v>12</v>
      </c>
      <c r="Z8" s="6"/>
      <c r="AA8" s="3" t="s">
        <v>13</v>
      </c>
      <c r="AB8" s="3" t="s">
        <v>11</v>
      </c>
      <c r="AC8" s="3" t="s">
        <v>13</v>
      </c>
      <c r="AD8" s="3" t="s">
        <v>13</v>
      </c>
      <c r="AE8" s="3" t="s">
        <v>12</v>
      </c>
      <c r="AF8" s="3" t="s">
        <v>12</v>
      </c>
      <c r="AG8" s="6"/>
      <c r="AH8" s="3" t="s">
        <v>12</v>
      </c>
      <c r="AI8" s="3" t="s">
        <v>11</v>
      </c>
      <c r="AJ8" s="3" t="s">
        <v>11</v>
      </c>
      <c r="AK8" s="4">
        <v>27</v>
      </c>
      <c r="AL8" s="4">
        <f t="shared" si="0"/>
        <v>14</v>
      </c>
      <c r="AM8" s="4">
        <f t="shared" si="1"/>
        <v>8</v>
      </c>
      <c r="AN8" s="4">
        <f t="shared" si="2"/>
        <v>5</v>
      </c>
      <c r="AO8" s="2"/>
      <c r="AP8" s="5">
        <f t="shared" si="3"/>
        <v>51.851851851851848</v>
      </c>
      <c r="AQ8" s="2"/>
    </row>
    <row r="9" spans="3:43" ht="15.6" x14ac:dyDescent="0.3">
      <c r="C9" s="2">
        <v>4</v>
      </c>
      <c r="D9" s="2" t="s">
        <v>19</v>
      </c>
      <c r="E9" s="2" t="s">
        <v>29</v>
      </c>
      <c r="F9" s="3" t="s">
        <v>12</v>
      </c>
      <c r="G9" s="3" t="s">
        <v>11</v>
      </c>
      <c r="H9" s="3" t="s">
        <v>13</v>
      </c>
      <c r="I9" s="3" t="s">
        <v>11</v>
      </c>
      <c r="J9" s="3" t="s">
        <v>13</v>
      </c>
      <c r="K9" s="3" t="s">
        <v>12</v>
      </c>
      <c r="L9" s="6"/>
      <c r="M9" s="3" t="s">
        <v>11</v>
      </c>
      <c r="N9" s="3" t="s">
        <v>12</v>
      </c>
      <c r="O9" s="3" t="s">
        <v>11</v>
      </c>
      <c r="P9" s="3" t="s">
        <v>12</v>
      </c>
      <c r="Q9" s="3" t="s">
        <v>11</v>
      </c>
      <c r="R9" s="3" t="s">
        <v>12</v>
      </c>
      <c r="S9" s="6"/>
      <c r="T9" s="3" t="s">
        <v>12</v>
      </c>
      <c r="U9" s="3" t="s">
        <v>12</v>
      </c>
      <c r="V9" s="3" t="s">
        <v>12</v>
      </c>
      <c r="W9" s="3" t="s">
        <v>11</v>
      </c>
      <c r="X9" s="3" t="s">
        <v>11</v>
      </c>
      <c r="Y9" s="3" t="s">
        <v>12</v>
      </c>
      <c r="Z9" s="6"/>
      <c r="AA9" s="3" t="s">
        <v>11</v>
      </c>
      <c r="AB9" s="3" t="s">
        <v>11</v>
      </c>
      <c r="AC9" s="3" t="s">
        <v>11</v>
      </c>
      <c r="AD9" s="3" t="s">
        <v>12</v>
      </c>
      <c r="AE9" s="3" t="s">
        <v>13</v>
      </c>
      <c r="AF9" s="3" t="s">
        <v>11</v>
      </c>
      <c r="AG9" s="6"/>
      <c r="AH9" s="3" t="s">
        <v>11</v>
      </c>
      <c r="AI9" s="3" t="s">
        <v>12</v>
      </c>
      <c r="AJ9" s="3" t="s">
        <v>11</v>
      </c>
      <c r="AK9" s="4">
        <v>27</v>
      </c>
      <c r="AL9" s="4">
        <f t="shared" si="0"/>
        <v>13</v>
      </c>
      <c r="AM9" s="4">
        <f t="shared" si="1"/>
        <v>11</v>
      </c>
      <c r="AN9" s="4">
        <f t="shared" si="2"/>
        <v>3</v>
      </c>
      <c r="AO9" s="2"/>
      <c r="AP9" s="5">
        <f t="shared" si="3"/>
        <v>48.148148148148145</v>
      </c>
      <c r="AQ9" s="2"/>
    </row>
    <row r="10" spans="3:43" ht="15.6" x14ac:dyDescent="0.3">
      <c r="C10" s="2">
        <v>5</v>
      </c>
      <c r="D10" s="2" t="s">
        <v>20</v>
      </c>
      <c r="E10" s="2" t="s">
        <v>30</v>
      </c>
      <c r="F10" s="3" t="s">
        <v>11</v>
      </c>
      <c r="G10" s="3" t="s">
        <v>12</v>
      </c>
      <c r="H10" s="3" t="s">
        <v>11</v>
      </c>
      <c r="I10" s="3" t="s">
        <v>12</v>
      </c>
      <c r="J10" s="3" t="s">
        <v>11</v>
      </c>
      <c r="K10" s="3" t="s">
        <v>11</v>
      </c>
      <c r="L10" s="6"/>
      <c r="M10" s="3" t="s">
        <v>11</v>
      </c>
      <c r="N10" s="3" t="s">
        <v>11</v>
      </c>
      <c r="O10" s="3" t="s">
        <v>12</v>
      </c>
      <c r="P10" s="3" t="s">
        <v>12</v>
      </c>
      <c r="Q10" s="3" t="s">
        <v>11</v>
      </c>
      <c r="R10" s="3" t="s">
        <v>13</v>
      </c>
      <c r="S10" s="6"/>
      <c r="T10" s="3" t="s">
        <v>13</v>
      </c>
      <c r="U10" s="3" t="s">
        <v>11</v>
      </c>
      <c r="V10" s="3" t="s">
        <v>12</v>
      </c>
      <c r="W10" s="3" t="s">
        <v>11</v>
      </c>
      <c r="X10" s="3" t="s">
        <v>11</v>
      </c>
      <c r="Y10" s="3" t="s">
        <v>13</v>
      </c>
      <c r="Z10" s="6"/>
      <c r="AA10" s="3" t="s">
        <v>11</v>
      </c>
      <c r="AB10" s="3" t="s">
        <v>12</v>
      </c>
      <c r="AC10" s="3" t="s">
        <v>11</v>
      </c>
      <c r="AD10" s="3" t="s">
        <v>11</v>
      </c>
      <c r="AE10" s="3" t="s">
        <v>11</v>
      </c>
      <c r="AF10" s="3" t="s">
        <v>13</v>
      </c>
      <c r="AG10" s="6"/>
      <c r="AH10" s="3" t="s">
        <v>11</v>
      </c>
      <c r="AI10" s="3" t="s">
        <v>11</v>
      </c>
      <c r="AJ10" s="3" t="s">
        <v>11</v>
      </c>
      <c r="AK10" s="4">
        <v>27</v>
      </c>
      <c r="AL10" s="4">
        <f t="shared" si="0"/>
        <v>17</v>
      </c>
      <c r="AM10" s="4">
        <f t="shared" si="1"/>
        <v>6</v>
      </c>
      <c r="AN10" s="4">
        <f t="shared" si="2"/>
        <v>4</v>
      </c>
      <c r="AO10" s="2"/>
      <c r="AP10" s="5">
        <f t="shared" si="3"/>
        <v>62.962962962962962</v>
      </c>
      <c r="AQ10" s="2"/>
    </row>
    <row r="11" spans="3:43" ht="15.6" x14ac:dyDescent="0.3">
      <c r="C11" s="2">
        <v>6</v>
      </c>
      <c r="D11" s="2" t="s">
        <v>21</v>
      </c>
      <c r="E11" s="2" t="s">
        <v>36</v>
      </c>
      <c r="F11" s="3" t="s">
        <v>11</v>
      </c>
      <c r="G11" s="3" t="s">
        <v>13</v>
      </c>
      <c r="H11" s="3" t="s">
        <v>11</v>
      </c>
      <c r="I11" s="3" t="s">
        <v>11</v>
      </c>
      <c r="J11" s="3" t="s">
        <v>11</v>
      </c>
      <c r="K11" s="3" t="s">
        <v>11</v>
      </c>
      <c r="L11" s="6"/>
      <c r="M11" s="3" t="s">
        <v>12</v>
      </c>
      <c r="N11" s="3" t="s">
        <v>11</v>
      </c>
      <c r="O11" s="3" t="s">
        <v>12</v>
      </c>
      <c r="P11" s="3" t="s">
        <v>12</v>
      </c>
      <c r="Q11" s="3" t="s">
        <v>11</v>
      </c>
      <c r="R11" s="3" t="s">
        <v>12</v>
      </c>
      <c r="S11" s="6"/>
      <c r="T11" s="3" t="s">
        <v>11</v>
      </c>
      <c r="U11" s="3" t="s">
        <v>11</v>
      </c>
      <c r="V11" s="3" t="s">
        <v>11</v>
      </c>
      <c r="W11" s="3" t="s">
        <v>11</v>
      </c>
      <c r="X11" s="3" t="s">
        <v>13</v>
      </c>
      <c r="Y11" s="3" t="s">
        <v>11</v>
      </c>
      <c r="Z11" s="6"/>
      <c r="AA11" s="3" t="s">
        <v>11</v>
      </c>
      <c r="AB11" s="3" t="s">
        <v>11</v>
      </c>
      <c r="AC11" s="3" t="s">
        <v>11</v>
      </c>
      <c r="AD11" s="3" t="s">
        <v>12</v>
      </c>
      <c r="AE11" s="3" t="s">
        <v>11</v>
      </c>
      <c r="AF11" s="3" t="s">
        <v>12</v>
      </c>
      <c r="AG11" s="6"/>
      <c r="AH11" s="3" t="s">
        <v>11</v>
      </c>
      <c r="AI11" s="3" t="s">
        <v>12</v>
      </c>
      <c r="AJ11" s="3" t="s">
        <v>11</v>
      </c>
      <c r="AK11" s="4">
        <v>27</v>
      </c>
      <c r="AL11" s="4">
        <f t="shared" si="0"/>
        <v>18</v>
      </c>
      <c r="AM11" s="4">
        <f t="shared" si="1"/>
        <v>7</v>
      </c>
      <c r="AN11" s="4">
        <f t="shared" si="2"/>
        <v>2</v>
      </c>
      <c r="AO11" s="2"/>
      <c r="AP11" s="5">
        <f t="shared" si="3"/>
        <v>66.666666666666657</v>
      </c>
      <c r="AQ11" s="2"/>
    </row>
    <row r="12" spans="3:43" ht="15.6" x14ac:dyDescent="0.3">
      <c r="C12" s="2">
        <v>7</v>
      </c>
      <c r="D12" s="2" t="s">
        <v>22</v>
      </c>
      <c r="E12" s="2" t="s">
        <v>31</v>
      </c>
      <c r="F12" s="3" t="s">
        <v>11</v>
      </c>
      <c r="G12" s="3" t="s">
        <v>11</v>
      </c>
      <c r="H12" s="3" t="s">
        <v>11</v>
      </c>
      <c r="I12" s="3" t="s">
        <v>12</v>
      </c>
      <c r="J12" s="3" t="s">
        <v>11</v>
      </c>
      <c r="K12" s="3" t="s">
        <v>12</v>
      </c>
      <c r="L12" s="6"/>
      <c r="M12" s="3" t="s">
        <v>11</v>
      </c>
      <c r="N12" s="3" t="s">
        <v>13</v>
      </c>
      <c r="O12" s="3" t="s">
        <v>12</v>
      </c>
      <c r="P12" s="3" t="s">
        <v>11</v>
      </c>
      <c r="Q12" s="3" t="s">
        <v>11</v>
      </c>
      <c r="R12" s="3" t="s">
        <v>12</v>
      </c>
      <c r="S12" s="6"/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6"/>
      <c r="AA12" s="3" t="s">
        <v>11</v>
      </c>
      <c r="AB12" s="3" t="s">
        <v>11</v>
      </c>
      <c r="AC12" s="3" t="s">
        <v>12</v>
      </c>
      <c r="AD12" s="3" t="s">
        <v>11</v>
      </c>
      <c r="AE12" s="3" t="s">
        <v>11</v>
      </c>
      <c r="AF12" s="3" t="s">
        <v>13</v>
      </c>
      <c r="AG12" s="6"/>
      <c r="AH12" s="3" t="s">
        <v>11</v>
      </c>
      <c r="AI12" s="3" t="s">
        <v>11</v>
      </c>
      <c r="AJ12" s="3" t="s">
        <v>12</v>
      </c>
      <c r="AK12" s="4">
        <v>27</v>
      </c>
      <c r="AL12" s="4">
        <f t="shared" si="0"/>
        <v>19</v>
      </c>
      <c r="AM12" s="4">
        <f t="shared" si="1"/>
        <v>6</v>
      </c>
      <c r="AN12" s="4">
        <f t="shared" si="2"/>
        <v>2</v>
      </c>
      <c r="AO12" s="2"/>
      <c r="AP12" s="5">
        <f t="shared" si="3"/>
        <v>70.370370370370367</v>
      </c>
      <c r="AQ12" s="2"/>
    </row>
    <row r="13" spans="3:43" ht="15.6" x14ac:dyDescent="0.3">
      <c r="C13" s="2">
        <v>8</v>
      </c>
      <c r="D13" s="2" t="s">
        <v>23</v>
      </c>
      <c r="E13" s="2" t="s">
        <v>35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12</v>
      </c>
      <c r="K13" s="3" t="s">
        <v>12</v>
      </c>
      <c r="L13" s="6"/>
      <c r="M13" s="3" t="s">
        <v>11</v>
      </c>
      <c r="N13" s="3" t="s">
        <v>13</v>
      </c>
      <c r="O13" s="3" t="s">
        <v>11</v>
      </c>
      <c r="P13" s="3" t="s">
        <v>11</v>
      </c>
      <c r="Q13" s="3" t="s">
        <v>13</v>
      </c>
      <c r="R13" s="3" t="s">
        <v>12</v>
      </c>
      <c r="S13" s="6"/>
      <c r="T13" s="3" t="s">
        <v>11</v>
      </c>
      <c r="U13" s="3" t="s">
        <v>13</v>
      </c>
      <c r="V13" s="3" t="s">
        <v>11</v>
      </c>
      <c r="W13" s="3" t="s">
        <v>11</v>
      </c>
      <c r="X13" s="3" t="s">
        <v>11</v>
      </c>
      <c r="Y13" s="3" t="s">
        <v>12</v>
      </c>
      <c r="Z13" s="6"/>
      <c r="AA13" s="3" t="s">
        <v>11</v>
      </c>
      <c r="AB13" s="3" t="s">
        <v>13</v>
      </c>
      <c r="AC13" s="3" t="s">
        <v>11</v>
      </c>
      <c r="AD13" s="3" t="s">
        <v>12</v>
      </c>
      <c r="AE13" s="3" t="s">
        <v>11</v>
      </c>
      <c r="AF13" s="3" t="s">
        <v>11</v>
      </c>
      <c r="AG13" s="6"/>
      <c r="AH13" s="3" t="s">
        <v>11</v>
      </c>
      <c r="AI13" s="3" t="s">
        <v>12</v>
      </c>
      <c r="AJ13" s="3" t="s">
        <v>11</v>
      </c>
      <c r="AK13" s="4">
        <v>27</v>
      </c>
      <c r="AL13" s="4">
        <f t="shared" si="0"/>
        <v>17</v>
      </c>
      <c r="AM13" s="4">
        <f t="shared" si="1"/>
        <v>6</v>
      </c>
      <c r="AN13" s="4">
        <f t="shared" si="2"/>
        <v>4</v>
      </c>
      <c r="AO13" s="2"/>
      <c r="AP13" s="5">
        <f t="shared" si="3"/>
        <v>62.962962962962962</v>
      </c>
      <c r="AQ13" s="2"/>
    </row>
    <row r="14" spans="3:43" ht="15.6" x14ac:dyDescent="0.3">
      <c r="C14" s="2">
        <v>9</v>
      </c>
      <c r="D14" s="2" t="s">
        <v>24</v>
      </c>
      <c r="E14" s="2" t="s">
        <v>32</v>
      </c>
      <c r="F14" s="3" t="s">
        <v>11</v>
      </c>
      <c r="G14" s="3" t="s">
        <v>12</v>
      </c>
      <c r="H14" s="3" t="s">
        <v>12</v>
      </c>
      <c r="I14" s="3" t="s">
        <v>11</v>
      </c>
      <c r="J14" s="3" t="s">
        <v>11</v>
      </c>
      <c r="K14" s="3" t="s">
        <v>12</v>
      </c>
      <c r="L14" s="6"/>
      <c r="M14" s="3" t="s">
        <v>11</v>
      </c>
      <c r="N14" s="3" t="s">
        <v>12</v>
      </c>
      <c r="O14" s="3" t="s">
        <v>11</v>
      </c>
      <c r="P14" s="3" t="s">
        <v>12</v>
      </c>
      <c r="Q14" s="3" t="s">
        <v>11</v>
      </c>
      <c r="R14" s="3" t="s">
        <v>11</v>
      </c>
      <c r="S14" s="6"/>
      <c r="T14" s="3" t="s">
        <v>11</v>
      </c>
      <c r="U14" s="3" t="s">
        <v>12</v>
      </c>
      <c r="V14" s="3" t="s">
        <v>12</v>
      </c>
      <c r="W14" s="3" t="s">
        <v>11</v>
      </c>
      <c r="X14" s="3" t="s">
        <v>12</v>
      </c>
      <c r="Y14" s="3" t="s">
        <v>13</v>
      </c>
      <c r="Z14" s="6"/>
      <c r="AA14" s="3" t="s">
        <v>11</v>
      </c>
      <c r="AB14" s="3" t="s">
        <v>12</v>
      </c>
      <c r="AC14" s="3" t="s">
        <v>12</v>
      </c>
      <c r="AD14" s="3" t="s">
        <v>13</v>
      </c>
      <c r="AE14" s="3" t="s">
        <v>12</v>
      </c>
      <c r="AF14" s="3" t="s">
        <v>13</v>
      </c>
      <c r="AG14" s="6"/>
      <c r="AH14" s="3" t="s">
        <v>11</v>
      </c>
      <c r="AI14" s="3" t="s">
        <v>12</v>
      </c>
      <c r="AJ14" s="3" t="s">
        <v>11</v>
      </c>
      <c r="AK14" s="4">
        <v>27</v>
      </c>
      <c r="AL14" s="4">
        <f t="shared" si="0"/>
        <v>12</v>
      </c>
      <c r="AM14" s="4">
        <f t="shared" si="1"/>
        <v>12</v>
      </c>
      <c r="AN14" s="4">
        <f t="shared" si="2"/>
        <v>3</v>
      </c>
      <c r="AO14" s="2"/>
      <c r="AP14" s="5">
        <f t="shared" si="3"/>
        <v>44.444444444444443</v>
      </c>
      <c r="AQ14" s="2"/>
    </row>
    <row r="15" spans="3:43" ht="15.6" x14ac:dyDescent="0.3">
      <c r="C15" s="2">
        <v>10</v>
      </c>
      <c r="D15" s="2" t="s">
        <v>25</v>
      </c>
      <c r="E15" s="2" t="s">
        <v>33</v>
      </c>
      <c r="F15" s="3" t="s">
        <v>12</v>
      </c>
      <c r="G15" s="3" t="s">
        <v>11</v>
      </c>
      <c r="H15" s="3" t="s">
        <v>12</v>
      </c>
      <c r="I15" s="3" t="s">
        <v>11</v>
      </c>
      <c r="J15" s="3" t="s">
        <v>11</v>
      </c>
      <c r="K15" s="3" t="s">
        <v>11</v>
      </c>
      <c r="L15" s="6"/>
      <c r="M15" s="3" t="s">
        <v>12</v>
      </c>
      <c r="N15" s="3" t="s">
        <v>11</v>
      </c>
      <c r="O15" s="3" t="s">
        <v>11</v>
      </c>
      <c r="P15" s="3" t="s">
        <v>11</v>
      </c>
      <c r="Q15" s="3" t="s">
        <v>12</v>
      </c>
      <c r="R15" s="3" t="s">
        <v>11</v>
      </c>
      <c r="S15" s="6"/>
      <c r="T15" s="3" t="s">
        <v>12</v>
      </c>
      <c r="U15" s="3" t="s">
        <v>11</v>
      </c>
      <c r="V15" s="3" t="s">
        <v>11</v>
      </c>
      <c r="W15" s="3" t="s">
        <v>11</v>
      </c>
      <c r="X15" s="3" t="s">
        <v>13</v>
      </c>
      <c r="Y15" s="3" t="s">
        <v>11</v>
      </c>
      <c r="Z15" s="6"/>
      <c r="AA15" s="3" t="s">
        <v>11</v>
      </c>
      <c r="AB15" s="3" t="s">
        <v>11</v>
      </c>
      <c r="AC15" s="3" t="s">
        <v>11</v>
      </c>
      <c r="AD15" s="3" t="s">
        <v>11</v>
      </c>
      <c r="AE15" s="3" t="s">
        <v>11</v>
      </c>
      <c r="AF15" s="3" t="s">
        <v>11</v>
      </c>
      <c r="AG15" s="6"/>
      <c r="AH15" s="3" t="s">
        <v>12</v>
      </c>
      <c r="AI15" s="3" t="s">
        <v>11</v>
      </c>
      <c r="AJ15" s="3" t="s">
        <v>11</v>
      </c>
      <c r="AK15" s="4">
        <v>27</v>
      </c>
      <c r="AL15" s="4">
        <f t="shared" si="0"/>
        <v>20</v>
      </c>
      <c r="AM15" s="4">
        <f t="shared" si="1"/>
        <v>6</v>
      </c>
      <c r="AN15" s="4">
        <f t="shared" si="2"/>
        <v>1</v>
      </c>
      <c r="AO15" s="2"/>
      <c r="AP15" s="5">
        <f t="shared" si="3"/>
        <v>74.074074074074076</v>
      </c>
      <c r="AQ15" s="2"/>
    </row>
    <row r="16" spans="3:43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3:43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3:43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3:43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</sheetData>
  <phoneticPr fontId="3" type="noConversion"/>
  <conditionalFormatting sqref="AL6:AN15">
    <cfRule type="colorScale" priority="2">
      <colorScale>
        <cfvo type="min"/>
        <cfvo type="num" val="0"/>
        <cfvo type="max"/>
        <color rgb="FFF6E5DA"/>
        <color rgb="FFFF3300"/>
        <color rgb="FFC00000"/>
      </colorScale>
    </cfRule>
    <cfRule type="colorScale" priority="1">
      <colorScale>
        <cfvo type="min"/>
        <cfvo type="max"/>
        <color theme="5" tint="0.39997558519241921"/>
        <color rgb="FFFF000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15</dc:creator>
  <cp:lastModifiedBy>Lenovo 15</cp:lastModifiedBy>
  <dcterms:created xsi:type="dcterms:W3CDTF">2025-11-02T17:24:20Z</dcterms:created>
  <dcterms:modified xsi:type="dcterms:W3CDTF">2025-11-02T18:49:52Z</dcterms:modified>
</cp:coreProperties>
</file>